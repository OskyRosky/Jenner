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ltan/Jobs/Camarones/Jenner/"/>
    </mc:Choice>
  </mc:AlternateContent>
  <xr:revisionPtr revIDLastSave="0" documentId="13_ncr:1_{133E5DAC-60FE-394A-A757-9D39808E8B37}" xr6:coauthVersionLast="47" xr6:coauthVersionMax="47" xr10:uidLastSave="{00000000-0000-0000-0000-000000000000}"/>
  <bookViews>
    <workbookView xWindow="-51200" yWindow="7620" windowWidth="51200" windowHeight="28300" tabRatio="625" activeTab="1" xr2:uid="{FBD9E2A2-EFE7-4A77-BB31-BF1FB3A52DF0}"/>
  </bookViews>
  <sheets>
    <sheet name="Objetivo 1" sheetId="8" r:id="rId1"/>
    <sheet name="Objetivo 2" sheetId="13" r:id="rId2"/>
    <sheet name="dataob1" sheetId="14" r:id="rId3"/>
    <sheet name="dataob2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2" i="15" l="1"/>
  <c r="K242" i="15" s="1"/>
  <c r="J241" i="15"/>
  <c r="K241" i="15" s="1"/>
  <c r="J240" i="15"/>
  <c r="K240" i="15" s="1"/>
  <c r="K239" i="15"/>
  <c r="J239" i="15"/>
  <c r="J238" i="15"/>
  <c r="K238" i="15" s="1"/>
  <c r="J237" i="15"/>
  <c r="K237" i="15" s="1"/>
  <c r="K236" i="15"/>
  <c r="J236" i="15"/>
  <c r="K235" i="15"/>
  <c r="J235" i="15"/>
  <c r="J234" i="15"/>
  <c r="K234" i="15" s="1"/>
  <c r="J233" i="15"/>
  <c r="K233" i="15" s="1"/>
  <c r="J232" i="15"/>
  <c r="K232" i="15" s="1"/>
  <c r="J231" i="15"/>
  <c r="K231" i="15" s="1"/>
  <c r="J230" i="15"/>
  <c r="K230" i="15" s="1"/>
  <c r="J229" i="15"/>
  <c r="K229" i="15" s="1"/>
  <c r="J228" i="15"/>
  <c r="K228" i="15" s="1"/>
  <c r="K227" i="15"/>
  <c r="J227" i="15"/>
  <c r="J226" i="15"/>
  <c r="K226" i="15" s="1"/>
  <c r="J225" i="15"/>
  <c r="K225" i="15" s="1"/>
  <c r="J224" i="15"/>
  <c r="K224" i="15" s="1"/>
  <c r="J223" i="15"/>
  <c r="K223" i="15" s="1"/>
  <c r="J222" i="15"/>
  <c r="K222" i="15" s="1"/>
  <c r="J221" i="15"/>
  <c r="K221" i="15" s="1"/>
  <c r="J220" i="15"/>
  <c r="K220" i="15" s="1"/>
  <c r="K219" i="15"/>
  <c r="J219" i="15"/>
  <c r="J218" i="15"/>
  <c r="K218" i="15" s="1"/>
  <c r="J217" i="15"/>
  <c r="K217" i="15" s="1"/>
  <c r="J216" i="15"/>
  <c r="K216" i="15" s="1"/>
  <c r="J215" i="15"/>
  <c r="K215" i="15" s="1"/>
  <c r="J214" i="15"/>
  <c r="K214" i="15" s="1"/>
  <c r="J213" i="15"/>
  <c r="K213" i="15" s="1"/>
  <c r="J212" i="15"/>
  <c r="K212" i="15" s="1"/>
  <c r="K211" i="15"/>
  <c r="J211" i="15"/>
  <c r="J210" i="15"/>
  <c r="K210" i="15" s="1"/>
  <c r="J209" i="15"/>
  <c r="K209" i="15" s="1"/>
  <c r="J208" i="15"/>
  <c r="K208" i="15" s="1"/>
  <c r="J207" i="15"/>
  <c r="K207" i="15" s="1"/>
  <c r="J206" i="15"/>
  <c r="K206" i="15" s="1"/>
  <c r="J205" i="15"/>
  <c r="K205" i="15" s="1"/>
  <c r="J204" i="15"/>
  <c r="K204" i="15" s="1"/>
  <c r="K203" i="15"/>
  <c r="J203" i="15"/>
  <c r="J202" i="15"/>
  <c r="K202" i="15" s="1"/>
  <c r="J201" i="15"/>
  <c r="K201" i="15" s="1"/>
  <c r="J200" i="15"/>
  <c r="K200" i="15" s="1"/>
  <c r="J199" i="15"/>
  <c r="K199" i="15" s="1"/>
  <c r="J198" i="15"/>
  <c r="K198" i="15" s="1"/>
  <c r="J197" i="15"/>
  <c r="K197" i="15" s="1"/>
  <c r="J196" i="15"/>
  <c r="K196" i="15" s="1"/>
  <c r="K195" i="15"/>
  <c r="J195" i="15"/>
  <c r="J194" i="15"/>
  <c r="K194" i="15" s="1"/>
  <c r="J193" i="15"/>
  <c r="K193" i="15" s="1"/>
  <c r="J192" i="15"/>
  <c r="K192" i="15" s="1"/>
  <c r="J191" i="15"/>
  <c r="K191" i="15" s="1"/>
  <c r="J190" i="15"/>
  <c r="K190" i="15" s="1"/>
  <c r="J189" i="15"/>
  <c r="K189" i="15" s="1"/>
  <c r="J188" i="15"/>
  <c r="K188" i="15" s="1"/>
  <c r="K187" i="15"/>
  <c r="J187" i="15"/>
  <c r="J186" i="15"/>
  <c r="K186" i="15" s="1"/>
  <c r="J185" i="15"/>
  <c r="K185" i="15" s="1"/>
  <c r="J184" i="15"/>
  <c r="K184" i="15" s="1"/>
  <c r="J183" i="15"/>
  <c r="K183" i="15" s="1"/>
  <c r="J182" i="15"/>
  <c r="K182" i="15" s="1"/>
  <c r="K181" i="15"/>
  <c r="J181" i="15"/>
  <c r="J180" i="15"/>
  <c r="K180" i="15" s="1"/>
  <c r="K179" i="15"/>
  <c r="J179" i="15"/>
  <c r="K178" i="15"/>
  <c r="J178" i="15"/>
  <c r="K177" i="15"/>
  <c r="J177" i="15"/>
  <c r="J176" i="15"/>
  <c r="K176" i="15" s="1"/>
  <c r="J175" i="15"/>
  <c r="K175" i="15" s="1"/>
  <c r="J174" i="15"/>
  <c r="K174" i="15" s="1"/>
  <c r="K173" i="15"/>
  <c r="J173" i="15"/>
  <c r="J172" i="15"/>
  <c r="K172" i="15" s="1"/>
  <c r="K171" i="15"/>
  <c r="J171" i="15"/>
  <c r="K170" i="15"/>
  <c r="J170" i="15"/>
  <c r="K169" i="15"/>
  <c r="J169" i="15"/>
  <c r="J168" i="15"/>
  <c r="K168" i="15" s="1"/>
  <c r="J167" i="15"/>
  <c r="K167" i="15" s="1"/>
  <c r="J166" i="15"/>
  <c r="K166" i="15" s="1"/>
  <c r="K165" i="15"/>
  <c r="J165" i="15"/>
  <c r="J164" i="15"/>
  <c r="K164" i="15" s="1"/>
  <c r="K163" i="15"/>
  <c r="J163" i="15"/>
  <c r="K162" i="15"/>
  <c r="J162" i="15"/>
  <c r="K161" i="15"/>
  <c r="J161" i="15"/>
  <c r="J160" i="15"/>
  <c r="K160" i="15" s="1"/>
  <c r="J159" i="15"/>
  <c r="K159" i="15" s="1"/>
  <c r="J158" i="15"/>
  <c r="K158" i="15" s="1"/>
  <c r="K157" i="15"/>
  <c r="J157" i="15"/>
  <c r="J156" i="15"/>
  <c r="K156" i="15" s="1"/>
  <c r="K155" i="15"/>
  <c r="J155" i="15"/>
  <c r="K154" i="15"/>
  <c r="J154" i="15"/>
  <c r="K153" i="15"/>
  <c r="J153" i="15"/>
  <c r="J152" i="15"/>
  <c r="K152" i="15" s="1"/>
  <c r="J151" i="15"/>
  <c r="K151" i="15" s="1"/>
  <c r="J150" i="15"/>
  <c r="K150" i="15" s="1"/>
  <c r="J149" i="15"/>
  <c r="K149" i="15" s="1"/>
  <c r="J148" i="15"/>
  <c r="K148" i="15" s="1"/>
  <c r="K147" i="15"/>
  <c r="J147" i="15"/>
  <c r="K146" i="15"/>
  <c r="J146" i="15"/>
  <c r="J145" i="15"/>
  <c r="K145" i="15" s="1"/>
  <c r="J144" i="15"/>
  <c r="K144" i="15" s="1"/>
  <c r="J143" i="15"/>
  <c r="K143" i="15" s="1"/>
  <c r="J142" i="15"/>
  <c r="K142" i="15" s="1"/>
  <c r="J141" i="15"/>
  <c r="K141" i="15" s="1"/>
  <c r="J140" i="15"/>
  <c r="K140" i="15" s="1"/>
  <c r="K139" i="15"/>
  <c r="J139" i="15"/>
  <c r="K138" i="15"/>
  <c r="J138" i="15"/>
  <c r="J137" i="15"/>
  <c r="K137" i="15" s="1"/>
  <c r="J136" i="15"/>
  <c r="K136" i="15" s="1"/>
  <c r="J135" i="15"/>
  <c r="K135" i="15" s="1"/>
  <c r="J134" i="15"/>
  <c r="K134" i="15" s="1"/>
  <c r="J133" i="15"/>
  <c r="K133" i="15" s="1"/>
  <c r="J132" i="15"/>
  <c r="K132" i="15" s="1"/>
  <c r="K131" i="15"/>
  <c r="J131" i="15"/>
  <c r="K130" i="15"/>
  <c r="J130" i="15"/>
  <c r="J129" i="15"/>
  <c r="K129" i="15" s="1"/>
  <c r="J128" i="15"/>
  <c r="K128" i="15" s="1"/>
  <c r="J127" i="15"/>
  <c r="K127" i="15" s="1"/>
  <c r="J126" i="15"/>
  <c r="K126" i="15" s="1"/>
  <c r="J125" i="15"/>
  <c r="K125" i="15" s="1"/>
  <c r="J124" i="15"/>
  <c r="K124" i="15" s="1"/>
  <c r="K123" i="15"/>
  <c r="J123" i="15"/>
  <c r="K122" i="15"/>
  <c r="J122" i="15"/>
  <c r="J121" i="15"/>
  <c r="K121" i="15" s="1"/>
  <c r="J120" i="15"/>
  <c r="K120" i="15" s="1"/>
  <c r="J119" i="15"/>
  <c r="K119" i="15" s="1"/>
  <c r="J118" i="15"/>
  <c r="K118" i="15" s="1"/>
  <c r="J117" i="15"/>
  <c r="K117" i="15" s="1"/>
  <c r="J116" i="15"/>
  <c r="K116" i="15" s="1"/>
  <c r="K115" i="15"/>
  <c r="J115" i="15"/>
  <c r="K114" i="15"/>
  <c r="J114" i="15"/>
  <c r="K113" i="15"/>
  <c r="J113" i="15"/>
  <c r="J112" i="15"/>
  <c r="K112" i="15" s="1"/>
  <c r="J111" i="15"/>
  <c r="K111" i="15" s="1"/>
  <c r="J110" i="15"/>
  <c r="K110" i="15" s="1"/>
  <c r="K109" i="15"/>
  <c r="J109" i="15"/>
  <c r="J108" i="15"/>
  <c r="K108" i="15" s="1"/>
  <c r="K107" i="15"/>
  <c r="J107" i="15"/>
  <c r="K106" i="15"/>
  <c r="J106" i="15"/>
  <c r="J105" i="15"/>
  <c r="K105" i="15" s="1"/>
  <c r="J104" i="15"/>
  <c r="K104" i="15" s="1"/>
  <c r="J103" i="15"/>
  <c r="K103" i="15" s="1"/>
  <c r="J102" i="15"/>
  <c r="K102" i="15" s="1"/>
  <c r="K101" i="15"/>
  <c r="J101" i="15"/>
  <c r="J100" i="15"/>
  <c r="K100" i="15" s="1"/>
  <c r="K99" i="15"/>
  <c r="J99" i="15"/>
  <c r="K98" i="15"/>
  <c r="J98" i="15"/>
  <c r="J97" i="15"/>
  <c r="K97" i="15" s="1"/>
  <c r="J96" i="15"/>
  <c r="K96" i="15" s="1"/>
  <c r="J95" i="15"/>
  <c r="K95" i="15" s="1"/>
  <c r="J94" i="15"/>
  <c r="K94" i="15" s="1"/>
  <c r="K93" i="15"/>
  <c r="J93" i="15"/>
  <c r="J92" i="15"/>
  <c r="K92" i="15" s="1"/>
  <c r="K91" i="15"/>
  <c r="J91" i="15"/>
  <c r="K90" i="15"/>
  <c r="J90" i="15"/>
  <c r="J89" i="15"/>
  <c r="K89" i="15" s="1"/>
  <c r="J88" i="15"/>
  <c r="K88" i="15" s="1"/>
  <c r="J87" i="15"/>
  <c r="K87" i="15" s="1"/>
  <c r="J86" i="15"/>
  <c r="K86" i="15" s="1"/>
  <c r="J85" i="15"/>
  <c r="K85" i="15" s="1"/>
  <c r="J84" i="15"/>
  <c r="K84" i="15" s="1"/>
  <c r="K83" i="15"/>
  <c r="J83" i="15"/>
  <c r="K82" i="15"/>
  <c r="J82" i="15"/>
  <c r="J81" i="15"/>
  <c r="K81" i="15" s="1"/>
  <c r="J80" i="15"/>
  <c r="K80" i="15" s="1"/>
  <c r="J79" i="15"/>
  <c r="K79" i="15" s="1"/>
  <c r="J78" i="15"/>
  <c r="K78" i="15" s="1"/>
  <c r="J77" i="15"/>
  <c r="K77" i="15" s="1"/>
  <c r="J76" i="15"/>
  <c r="K76" i="15" s="1"/>
  <c r="K75" i="15"/>
  <c r="J75" i="15"/>
  <c r="K74" i="15"/>
  <c r="J74" i="15"/>
  <c r="K73" i="15"/>
  <c r="J73" i="15"/>
  <c r="J72" i="15"/>
  <c r="K72" i="15" s="1"/>
  <c r="J71" i="15"/>
  <c r="K71" i="15" s="1"/>
  <c r="J70" i="15"/>
  <c r="K70" i="15" s="1"/>
  <c r="J69" i="15"/>
  <c r="K69" i="15" s="1"/>
  <c r="J68" i="15"/>
  <c r="K68" i="15" s="1"/>
  <c r="K67" i="15"/>
  <c r="J67" i="15"/>
  <c r="K66" i="15"/>
  <c r="J66" i="15"/>
  <c r="K65" i="15"/>
  <c r="J65" i="15"/>
  <c r="J64" i="15"/>
  <c r="K64" i="15" s="1"/>
  <c r="J63" i="15"/>
  <c r="K63" i="15" s="1"/>
  <c r="J62" i="15"/>
  <c r="K62" i="15" s="1"/>
  <c r="J61" i="15"/>
  <c r="K61" i="15" s="1"/>
  <c r="J60" i="15"/>
  <c r="K60" i="15" s="1"/>
  <c r="K59" i="15"/>
  <c r="J59" i="15"/>
  <c r="K58" i="15"/>
  <c r="J58" i="15"/>
  <c r="T57" i="15"/>
  <c r="J57" i="15"/>
  <c r="K57" i="15" s="1"/>
  <c r="J56" i="15"/>
  <c r="K56" i="15" s="1"/>
  <c r="K55" i="15"/>
  <c r="J55" i="15"/>
  <c r="K54" i="15"/>
  <c r="J54" i="15"/>
  <c r="J53" i="15"/>
  <c r="K53" i="15" s="1"/>
  <c r="K52" i="15"/>
  <c r="J52" i="15"/>
  <c r="K51" i="15"/>
  <c r="J51" i="15"/>
  <c r="J50" i="15"/>
  <c r="K50" i="15" s="1"/>
  <c r="J49" i="15"/>
  <c r="K49" i="15" s="1"/>
  <c r="J48" i="15"/>
  <c r="K48" i="15" s="1"/>
  <c r="K47" i="15"/>
  <c r="J47" i="15"/>
  <c r="K46" i="15"/>
  <c r="J46" i="15"/>
  <c r="J45" i="15"/>
  <c r="K45" i="15" s="1"/>
  <c r="K44" i="15"/>
  <c r="J44" i="15"/>
  <c r="K43" i="15"/>
  <c r="J43" i="15"/>
  <c r="J42" i="15"/>
  <c r="K42" i="15" s="1"/>
  <c r="J41" i="15"/>
  <c r="K41" i="15" s="1"/>
  <c r="J40" i="15"/>
  <c r="K40" i="15" s="1"/>
  <c r="K39" i="15"/>
  <c r="J39" i="15"/>
  <c r="K38" i="15"/>
  <c r="J38" i="15"/>
  <c r="J37" i="15"/>
  <c r="K37" i="15" s="1"/>
  <c r="K36" i="15"/>
  <c r="J36" i="15"/>
  <c r="K35" i="15"/>
  <c r="J35" i="15"/>
  <c r="J34" i="15"/>
  <c r="K34" i="15" s="1"/>
  <c r="J33" i="15"/>
  <c r="K33" i="15" s="1"/>
  <c r="J32" i="15"/>
  <c r="K32" i="15" s="1"/>
  <c r="K31" i="15"/>
  <c r="J31" i="15"/>
  <c r="K30" i="15"/>
  <c r="J30" i="15"/>
  <c r="J29" i="15"/>
  <c r="K29" i="15" s="1"/>
  <c r="K28" i="15"/>
  <c r="J28" i="15"/>
  <c r="K27" i="15"/>
  <c r="J27" i="15"/>
  <c r="J26" i="15"/>
  <c r="K26" i="15" s="1"/>
  <c r="J25" i="15"/>
  <c r="K25" i="15" s="1"/>
  <c r="J24" i="15"/>
  <c r="K24" i="15" s="1"/>
  <c r="K23" i="15"/>
  <c r="J23" i="15"/>
  <c r="K22" i="15"/>
  <c r="J22" i="15"/>
  <c r="J21" i="15"/>
  <c r="K21" i="15" s="1"/>
  <c r="K20" i="15"/>
  <c r="J20" i="15"/>
  <c r="K19" i="15"/>
  <c r="J19" i="15"/>
  <c r="J18" i="15"/>
  <c r="K18" i="15" s="1"/>
  <c r="K17" i="15"/>
  <c r="J17" i="15"/>
  <c r="J16" i="15"/>
  <c r="K16" i="15" s="1"/>
  <c r="K15" i="15"/>
  <c r="J15" i="15"/>
  <c r="K14" i="15"/>
  <c r="J14" i="15"/>
  <c r="J13" i="15"/>
  <c r="K13" i="15" s="1"/>
  <c r="K12" i="15"/>
  <c r="J12" i="15"/>
  <c r="K11" i="15"/>
  <c r="J11" i="15"/>
  <c r="T10" i="15"/>
  <c r="J10" i="15"/>
  <c r="K10" i="15" s="1"/>
  <c r="J9" i="15"/>
  <c r="K9" i="15" s="1"/>
  <c r="J8" i="15"/>
  <c r="K8" i="15" s="1"/>
  <c r="J7" i="15"/>
  <c r="K7" i="15" s="1"/>
  <c r="J6" i="15"/>
  <c r="K6" i="15" s="1"/>
  <c r="J5" i="15"/>
  <c r="K5" i="15" s="1"/>
  <c r="K4" i="15"/>
  <c r="J4" i="15"/>
  <c r="K3" i="15"/>
  <c r="J3" i="15"/>
  <c r="J242" i="14"/>
  <c r="K242" i="14" s="1"/>
  <c r="J241" i="14"/>
  <c r="K241" i="14" s="1"/>
  <c r="J240" i="14"/>
  <c r="K240" i="14" s="1"/>
  <c r="J239" i="14"/>
  <c r="K239" i="14" s="1"/>
  <c r="J238" i="14"/>
  <c r="K238" i="14" s="1"/>
  <c r="K237" i="14"/>
  <c r="J237" i="14"/>
  <c r="J236" i="14"/>
  <c r="K236" i="14" s="1"/>
  <c r="J235" i="14"/>
  <c r="K235" i="14" s="1"/>
  <c r="J234" i="14"/>
  <c r="K234" i="14" s="1"/>
  <c r="J233" i="14"/>
  <c r="K233" i="14" s="1"/>
  <c r="J232" i="14"/>
  <c r="K232" i="14" s="1"/>
  <c r="J231" i="14"/>
  <c r="K231" i="14" s="1"/>
  <c r="J230" i="14"/>
  <c r="K230" i="14" s="1"/>
  <c r="J229" i="14"/>
  <c r="K229" i="14" s="1"/>
  <c r="J228" i="14"/>
  <c r="K228" i="14" s="1"/>
  <c r="J227" i="14"/>
  <c r="K227" i="14" s="1"/>
  <c r="J226" i="14"/>
  <c r="K226" i="14" s="1"/>
  <c r="J225" i="14"/>
  <c r="K225" i="14" s="1"/>
  <c r="J224" i="14"/>
  <c r="K224" i="14" s="1"/>
  <c r="J223" i="14"/>
  <c r="K223" i="14" s="1"/>
  <c r="J222" i="14"/>
  <c r="K222" i="14" s="1"/>
  <c r="J221" i="14"/>
  <c r="K221" i="14" s="1"/>
  <c r="J220" i="14"/>
  <c r="K220" i="14" s="1"/>
  <c r="J219" i="14"/>
  <c r="K219" i="14" s="1"/>
  <c r="J218" i="14"/>
  <c r="K218" i="14" s="1"/>
  <c r="J217" i="14"/>
  <c r="K217" i="14" s="1"/>
  <c r="J216" i="14"/>
  <c r="K216" i="14" s="1"/>
  <c r="J215" i="14"/>
  <c r="K215" i="14" s="1"/>
  <c r="J214" i="14"/>
  <c r="K214" i="14" s="1"/>
  <c r="J213" i="14"/>
  <c r="K213" i="14" s="1"/>
  <c r="J212" i="14"/>
  <c r="K212" i="14" s="1"/>
  <c r="J211" i="14"/>
  <c r="K211" i="14" s="1"/>
  <c r="J210" i="14"/>
  <c r="K210" i="14" s="1"/>
  <c r="J209" i="14"/>
  <c r="K209" i="14" s="1"/>
  <c r="J208" i="14"/>
  <c r="K208" i="14" s="1"/>
  <c r="J207" i="14"/>
  <c r="K207" i="14" s="1"/>
  <c r="J206" i="14"/>
  <c r="K206" i="14" s="1"/>
  <c r="J205" i="14"/>
  <c r="K205" i="14" s="1"/>
  <c r="K204" i="14"/>
  <c r="J204" i="14"/>
  <c r="J203" i="14"/>
  <c r="K203" i="14" s="1"/>
  <c r="J202" i="14"/>
  <c r="K202" i="14" s="1"/>
  <c r="J201" i="14"/>
  <c r="K201" i="14" s="1"/>
  <c r="J200" i="14"/>
  <c r="K200" i="14" s="1"/>
  <c r="J199" i="14"/>
  <c r="K199" i="14" s="1"/>
  <c r="J198" i="14"/>
  <c r="K198" i="14" s="1"/>
  <c r="J197" i="14"/>
  <c r="K197" i="14" s="1"/>
  <c r="J196" i="14"/>
  <c r="K196" i="14" s="1"/>
  <c r="J195" i="14"/>
  <c r="K195" i="14" s="1"/>
  <c r="J194" i="14"/>
  <c r="K194" i="14" s="1"/>
  <c r="J193" i="14"/>
  <c r="K193" i="14" s="1"/>
  <c r="J192" i="14"/>
  <c r="K192" i="14" s="1"/>
  <c r="J191" i="14"/>
  <c r="K191" i="14" s="1"/>
  <c r="J190" i="14"/>
  <c r="K190" i="14" s="1"/>
  <c r="J189" i="14"/>
  <c r="K189" i="14" s="1"/>
  <c r="K188" i="14"/>
  <c r="J188" i="14"/>
  <c r="J187" i="14"/>
  <c r="K187" i="14" s="1"/>
  <c r="J186" i="14"/>
  <c r="K186" i="14" s="1"/>
  <c r="J185" i="14"/>
  <c r="K185" i="14" s="1"/>
  <c r="J184" i="14"/>
  <c r="K184" i="14" s="1"/>
  <c r="J183" i="14"/>
  <c r="K183" i="14" s="1"/>
  <c r="J182" i="14"/>
  <c r="K182" i="14" s="1"/>
  <c r="J181" i="14"/>
  <c r="K181" i="14" s="1"/>
  <c r="K180" i="14"/>
  <c r="J180" i="14"/>
  <c r="J179" i="14"/>
  <c r="K179" i="14" s="1"/>
  <c r="J178" i="14"/>
  <c r="K178" i="14" s="1"/>
  <c r="J177" i="14"/>
  <c r="K177" i="14" s="1"/>
  <c r="J176" i="14"/>
  <c r="K176" i="14" s="1"/>
  <c r="J175" i="14"/>
  <c r="K175" i="14" s="1"/>
  <c r="J174" i="14"/>
  <c r="K174" i="14" s="1"/>
  <c r="J173" i="14"/>
  <c r="K173" i="14" s="1"/>
  <c r="K172" i="14"/>
  <c r="J172" i="14"/>
  <c r="J171" i="14"/>
  <c r="K171" i="14" s="1"/>
  <c r="J170" i="14"/>
  <c r="K170" i="14" s="1"/>
  <c r="J169" i="14"/>
  <c r="K169" i="14" s="1"/>
  <c r="J168" i="14"/>
  <c r="K168" i="14" s="1"/>
  <c r="J167" i="14"/>
  <c r="K167" i="14" s="1"/>
  <c r="J166" i="14"/>
  <c r="K166" i="14" s="1"/>
  <c r="J165" i="14"/>
  <c r="K165" i="14" s="1"/>
  <c r="J164" i="14"/>
  <c r="K164" i="14" s="1"/>
  <c r="J163" i="14"/>
  <c r="K163" i="14" s="1"/>
  <c r="J162" i="14"/>
  <c r="K162" i="14" s="1"/>
  <c r="J161" i="14"/>
  <c r="K161" i="14" s="1"/>
  <c r="J160" i="14"/>
  <c r="K160" i="14" s="1"/>
  <c r="J159" i="14"/>
  <c r="K159" i="14" s="1"/>
  <c r="J158" i="14"/>
  <c r="K158" i="14" s="1"/>
  <c r="J157" i="14"/>
  <c r="K157" i="14" s="1"/>
  <c r="J156" i="14"/>
  <c r="K156" i="14" s="1"/>
  <c r="J155" i="14"/>
  <c r="K155" i="14" s="1"/>
  <c r="J154" i="14"/>
  <c r="K154" i="14" s="1"/>
  <c r="J153" i="14"/>
  <c r="K153" i="14" s="1"/>
  <c r="J152" i="14"/>
  <c r="K152" i="14" s="1"/>
  <c r="J151" i="14"/>
  <c r="K151" i="14" s="1"/>
  <c r="J150" i="14"/>
  <c r="K150" i="14" s="1"/>
  <c r="J149" i="14"/>
  <c r="K149" i="14" s="1"/>
  <c r="J148" i="14"/>
  <c r="K148" i="14" s="1"/>
  <c r="J147" i="14"/>
  <c r="K147" i="14" s="1"/>
  <c r="J146" i="14"/>
  <c r="K146" i="14" s="1"/>
  <c r="J145" i="14"/>
  <c r="K145" i="14" s="1"/>
  <c r="J144" i="14"/>
  <c r="K144" i="14" s="1"/>
  <c r="J143" i="14"/>
  <c r="K143" i="14" s="1"/>
  <c r="J142" i="14"/>
  <c r="K142" i="14" s="1"/>
  <c r="J141" i="14"/>
  <c r="K141" i="14" s="1"/>
  <c r="J140" i="14"/>
  <c r="K140" i="14" s="1"/>
  <c r="J139" i="14"/>
  <c r="K139" i="14" s="1"/>
  <c r="J138" i="14"/>
  <c r="K138" i="14" s="1"/>
  <c r="J137" i="14"/>
  <c r="K137" i="14" s="1"/>
  <c r="J136" i="14"/>
  <c r="K136" i="14" s="1"/>
  <c r="J135" i="14"/>
  <c r="K135" i="14" s="1"/>
  <c r="J134" i="14"/>
  <c r="K134" i="14" s="1"/>
  <c r="J133" i="14"/>
  <c r="K133" i="14" s="1"/>
  <c r="J132" i="14"/>
  <c r="K132" i="14" s="1"/>
  <c r="J131" i="14"/>
  <c r="K131" i="14" s="1"/>
  <c r="J130" i="14"/>
  <c r="K130" i="14" s="1"/>
  <c r="J129" i="14"/>
  <c r="K129" i="14" s="1"/>
  <c r="J128" i="14"/>
  <c r="K128" i="14" s="1"/>
  <c r="J127" i="14"/>
  <c r="K127" i="14" s="1"/>
  <c r="J126" i="14"/>
  <c r="K126" i="14" s="1"/>
  <c r="J125" i="14"/>
  <c r="K125" i="14" s="1"/>
  <c r="J124" i="14"/>
  <c r="K124" i="14" s="1"/>
  <c r="J123" i="14"/>
  <c r="K123" i="14" s="1"/>
  <c r="J122" i="14"/>
  <c r="K122" i="14" s="1"/>
  <c r="J121" i="14"/>
  <c r="K121" i="14" s="1"/>
  <c r="J120" i="14"/>
  <c r="K120" i="14" s="1"/>
  <c r="J119" i="14"/>
  <c r="K119" i="14" s="1"/>
  <c r="J118" i="14"/>
  <c r="K118" i="14" s="1"/>
  <c r="J117" i="14"/>
  <c r="K117" i="14" s="1"/>
  <c r="J116" i="14"/>
  <c r="K116" i="14" s="1"/>
  <c r="J115" i="14"/>
  <c r="K115" i="14" s="1"/>
  <c r="J114" i="14"/>
  <c r="K114" i="14" s="1"/>
  <c r="J113" i="14"/>
  <c r="K113" i="14" s="1"/>
  <c r="J112" i="14"/>
  <c r="K112" i="14" s="1"/>
  <c r="J111" i="14"/>
  <c r="K111" i="14" s="1"/>
  <c r="J110" i="14"/>
  <c r="K110" i="14" s="1"/>
  <c r="J109" i="14"/>
  <c r="K109" i="14" s="1"/>
  <c r="J108" i="14"/>
  <c r="K108" i="14" s="1"/>
  <c r="J107" i="14"/>
  <c r="K107" i="14" s="1"/>
  <c r="J106" i="14"/>
  <c r="K106" i="14" s="1"/>
  <c r="J105" i="14"/>
  <c r="K105" i="14" s="1"/>
  <c r="J104" i="14"/>
  <c r="K104" i="14" s="1"/>
  <c r="J103" i="14"/>
  <c r="K103" i="14" s="1"/>
  <c r="J102" i="14"/>
  <c r="K102" i="14" s="1"/>
  <c r="J101" i="14"/>
  <c r="K101" i="14" s="1"/>
  <c r="J100" i="14"/>
  <c r="K100" i="14" s="1"/>
  <c r="J99" i="14"/>
  <c r="K99" i="14" s="1"/>
  <c r="J98" i="14"/>
  <c r="K98" i="14" s="1"/>
  <c r="J97" i="14"/>
  <c r="K97" i="14" s="1"/>
  <c r="J96" i="14"/>
  <c r="K96" i="14" s="1"/>
  <c r="J95" i="14"/>
  <c r="K95" i="14" s="1"/>
  <c r="J94" i="14"/>
  <c r="K94" i="14" s="1"/>
  <c r="J93" i="14"/>
  <c r="K93" i="14" s="1"/>
  <c r="J92" i="14"/>
  <c r="K92" i="14" s="1"/>
  <c r="J91" i="14"/>
  <c r="K91" i="14" s="1"/>
  <c r="J90" i="14"/>
  <c r="K90" i="14" s="1"/>
  <c r="J89" i="14"/>
  <c r="K89" i="14" s="1"/>
  <c r="J88" i="14"/>
  <c r="K88" i="14" s="1"/>
  <c r="J87" i="14"/>
  <c r="K87" i="14" s="1"/>
  <c r="J86" i="14"/>
  <c r="K86" i="14" s="1"/>
  <c r="J85" i="14"/>
  <c r="K85" i="14" s="1"/>
  <c r="J84" i="14"/>
  <c r="K84" i="14" s="1"/>
  <c r="J83" i="14"/>
  <c r="K83" i="14" s="1"/>
  <c r="J82" i="14"/>
  <c r="K82" i="14" s="1"/>
  <c r="J81" i="14"/>
  <c r="K81" i="14" s="1"/>
  <c r="J80" i="14"/>
  <c r="K80" i="14" s="1"/>
  <c r="J79" i="14"/>
  <c r="K79" i="14" s="1"/>
  <c r="J78" i="14"/>
  <c r="K78" i="14" s="1"/>
  <c r="J77" i="14"/>
  <c r="K77" i="14" s="1"/>
  <c r="J76" i="14"/>
  <c r="K76" i="14" s="1"/>
  <c r="J75" i="14"/>
  <c r="K75" i="14" s="1"/>
  <c r="J74" i="14"/>
  <c r="K74" i="14" s="1"/>
  <c r="J73" i="14"/>
  <c r="K73" i="14" s="1"/>
  <c r="J72" i="14"/>
  <c r="K72" i="14" s="1"/>
  <c r="J71" i="14"/>
  <c r="K71" i="14" s="1"/>
  <c r="J70" i="14"/>
  <c r="K70" i="14" s="1"/>
  <c r="J69" i="14"/>
  <c r="K69" i="14" s="1"/>
  <c r="J68" i="14"/>
  <c r="K68" i="14" s="1"/>
  <c r="J67" i="14"/>
  <c r="K67" i="14" s="1"/>
  <c r="J66" i="14"/>
  <c r="K66" i="14" s="1"/>
  <c r="J65" i="14"/>
  <c r="K65" i="14" s="1"/>
  <c r="J64" i="14"/>
  <c r="K64" i="14" s="1"/>
  <c r="J63" i="14"/>
  <c r="K63" i="14" s="1"/>
  <c r="J62" i="14"/>
  <c r="K62" i="14" s="1"/>
  <c r="J61" i="14"/>
  <c r="K61" i="14" s="1"/>
  <c r="J60" i="14"/>
  <c r="K60" i="14" s="1"/>
  <c r="J59" i="14"/>
  <c r="K59" i="14" s="1"/>
  <c r="J58" i="14"/>
  <c r="K58" i="14" s="1"/>
  <c r="J57" i="14"/>
  <c r="K57" i="14" s="1"/>
  <c r="J56" i="14"/>
  <c r="K56" i="14" s="1"/>
  <c r="J55" i="14"/>
  <c r="K55" i="14" s="1"/>
  <c r="J54" i="14"/>
  <c r="K54" i="14" s="1"/>
  <c r="J53" i="14"/>
  <c r="K53" i="14" s="1"/>
  <c r="J52" i="14"/>
  <c r="K52" i="14" s="1"/>
  <c r="J51" i="14"/>
  <c r="K51" i="14" s="1"/>
  <c r="J50" i="14"/>
  <c r="K50" i="14" s="1"/>
  <c r="J49" i="14"/>
  <c r="K49" i="14" s="1"/>
  <c r="J48" i="14"/>
  <c r="K48" i="14" s="1"/>
  <c r="J47" i="14"/>
  <c r="K47" i="14" s="1"/>
  <c r="J46" i="14"/>
  <c r="K46" i="14" s="1"/>
  <c r="J45" i="14"/>
  <c r="K45" i="14" s="1"/>
  <c r="J44" i="14"/>
  <c r="K44" i="14" s="1"/>
  <c r="J43" i="14"/>
  <c r="K43" i="14" s="1"/>
  <c r="J42" i="14"/>
  <c r="K42" i="14" s="1"/>
  <c r="J41" i="14"/>
  <c r="K41" i="14" s="1"/>
  <c r="J40" i="14"/>
  <c r="K40" i="14" s="1"/>
  <c r="J39" i="14"/>
  <c r="K39" i="14" s="1"/>
  <c r="J38" i="14"/>
  <c r="K38" i="14" s="1"/>
  <c r="J37" i="14"/>
  <c r="K37" i="14" s="1"/>
  <c r="J36" i="14"/>
  <c r="K36" i="14" s="1"/>
  <c r="J35" i="14"/>
  <c r="K35" i="14" s="1"/>
  <c r="J34" i="14"/>
  <c r="K34" i="14" s="1"/>
  <c r="J33" i="14"/>
  <c r="K33" i="14" s="1"/>
  <c r="J32" i="14"/>
  <c r="K32" i="14" s="1"/>
  <c r="J31" i="14"/>
  <c r="K31" i="14" s="1"/>
  <c r="J30" i="14"/>
  <c r="K30" i="14" s="1"/>
  <c r="J29" i="14"/>
  <c r="K29" i="14" s="1"/>
  <c r="J28" i="14"/>
  <c r="K28" i="14" s="1"/>
  <c r="J27" i="14"/>
  <c r="K27" i="14" s="1"/>
  <c r="J26" i="14"/>
  <c r="K26" i="14" s="1"/>
  <c r="J25" i="14"/>
  <c r="K25" i="14" s="1"/>
  <c r="J24" i="14"/>
  <c r="K24" i="14" s="1"/>
  <c r="J23" i="14"/>
  <c r="K23" i="14" s="1"/>
  <c r="J22" i="14"/>
  <c r="K22" i="14" s="1"/>
  <c r="J21" i="14"/>
  <c r="K21" i="14" s="1"/>
  <c r="J20" i="14"/>
  <c r="K20" i="14" s="1"/>
  <c r="J19" i="14"/>
  <c r="K19" i="14" s="1"/>
  <c r="J18" i="14"/>
  <c r="K18" i="14" s="1"/>
  <c r="J17" i="14"/>
  <c r="K17" i="14" s="1"/>
  <c r="J16" i="14"/>
  <c r="K16" i="14" s="1"/>
  <c r="J15" i="14"/>
  <c r="K15" i="14" s="1"/>
  <c r="J14" i="14"/>
  <c r="K14" i="14" s="1"/>
  <c r="J13" i="14"/>
  <c r="K13" i="14" s="1"/>
  <c r="J12" i="14"/>
  <c r="K12" i="14" s="1"/>
  <c r="J11" i="14"/>
  <c r="K11" i="14" s="1"/>
  <c r="J10" i="14"/>
  <c r="K10" i="14" s="1"/>
  <c r="J9" i="14"/>
  <c r="K9" i="14" s="1"/>
  <c r="J8" i="14"/>
  <c r="K8" i="14" s="1"/>
  <c r="J7" i="14"/>
  <c r="K7" i="14" s="1"/>
  <c r="J6" i="14"/>
  <c r="K6" i="14" s="1"/>
  <c r="J5" i="14"/>
  <c r="K5" i="14" s="1"/>
  <c r="J4" i="14"/>
  <c r="K4" i="14" s="1"/>
  <c r="J3" i="14"/>
  <c r="K3" i="14" s="1"/>
  <c r="J245" i="13"/>
  <c r="K245" i="13" s="1"/>
  <c r="J244" i="13"/>
  <c r="K244" i="13" s="1"/>
  <c r="J243" i="13"/>
  <c r="K243" i="13" s="1"/>
  <c r="J242" i="13"/>
  <c r="K242" i="13" s="1"/>
  <c r="J241" i="13"/>
  <c r="K241" i="13" s="1"/>
  <c r="J240" i="13"/>
  <c r="K240" i="13" s="1"/>
  <c r="J239" i="13"/>
  <c r="K239" i="13" s="1"/>
  <c r="J238" i="13"/>
  <c r="K238" i="13" s="1"/>
  <c r="J237" i="13"/>
  <c r="K237" i="13" s="1"/>
  <c r="J236" i="13"/>
  <c r="K236" i="13" s="1"/>
  <c r="J235" i="13"/>
  <c r="K235" i="13" s="1"/>
  <c r="J234" i="13"/>
  <c r="K234" i="13" s="1"/>
  <c r="J233" i="13"/>
  <c r="K233" i="13" s="1"/>
  <c r="J232" i="13"/>
  <c r="K232" i="13" s="1"/>
  <c r="J231" i="13"/>
  <c r="K231" i="13" s="1"/>
  <c r="J230" i="13"/>
  <c r="K230" i="13" s="1"/>
  <c r="J229" i="13"/>
  <c r="K229" i="13" s="1"/>
  <c r="J228" i="13"/>
  <c r="K228" i="13" s="1"/>
  <c r="J227" i="13"/>
  <c r="K227" i="13" s="1"/>
  <c r="J226" i="13"/>
  <c r="K226" i="13" s="1"/>
  <c r="J225" i="13"/>
  <c r="K225" i="13" s="1"/>
  <c r="J224" i="13"/>
  <c r="K224" i="13" s="1"/>
  <c r="J223" i="13"/>
  <c r="K223" i="13" s="1"/>
  <c r="J222" i="13"/>
  <c r="K222" i="13" s="1"/>
  <c r="J221" i="13"/>
  <c r="K221" i="13" s="1"/>
  <c r="J220" i="13"/>
  <c r="K220" i="13" s="1"/>
  <c r="J219" i="13"/>
  <c r="K219" i="13" s="1"/>
  <c r="J218" i="13"/>
  <c r="K218" i="13" s="1"/>
  <c r="J217" i="13"/>
  <c r="K217" i="13" s="1"/>
  <c r="J216" i="13"/>
  <c r="K216" i="13" s="1"/>
  <c r="J215" i="13"/>
  <c r="K215" i="13" s="1"/>
  <c r="J214" i="13"/>
  <c r="K214" i="13" s="1"/>
  <c r="J213" i="13"/>
  <c r="K213" i="13" s="1"/>
  <c r="J212" i="13"/>
  <c r="K212" i="13" s="1"/>
  <c r="J211" i="13"/>
  <c r="K211" i="13" s="1"/>
  <c r="J210" i="13"/>
  <c r="K210" i="13" s="1"/>
  <c r="J209" i="13"/>
  <c r="K209" i="13" s="1"/>
  <c r="J208" i="13"/>
  <c r="K208" i="13" s="1"/>
  <c r="J207" i="13"/>
  <c r="K207" i="13" s="1"/>
  <c r="J206" i="13"/>
  <c r="K206" i="13" s="1"/>
  <c r="J205" i="13"/>
  <c r="K205" i="13" s="1"/>
  <c r="J204" i="13"/>
  <c r="K204" i="13" s="1"/>
  <c r="J203" i="13"/>
  <c r="K203" i="13" s="1"/>
  <c r="J202" i="13"/>
  <c r="K202" i="13" s="1"/>
  <c r="J201" i="13"/>
  <c r="K201" i="13" s="1"/>
  <c r="J200" i="13"/>
  <c r="K200" i="13" s="1"/>
  <c r="J199" i="13"/>
  <c r="K199" i="13" s="1"/>
  <c r="J198" i="13"/>
  <c r="K198" i="13" s="1"/>
  <c r="J197" i="13"/>
  <c r="K197" i="13" s="1"/>
  <c r="J196" i="13"/>
  <c r="K196" i="13" s="1"/>
  <c r="J195" i="13"/>
  <c r="K195" i="13" s="1"/>
  <c r="J194" i="13"/>
  <c r="K194" i="13" s="1"/>
  <c r="J193" i="13"/>
  <c r="K193" i="13" s="1"/>
  <c r="J192" i="13"/>
  <c r="K192" i="13" s="1"/>
  <c r="J191" i="13"/>
  <c r="K191" i="13" s="1"/>
  <c r="J190" i="13"/>
  <c r="K190" i="13" s="1"/>
  <c r="J189" i="13"/>
  <c r="K189" i="13" s="1"/>
  <c r="J188" i="13"/>
  <c r="K188" i="13" s="1"/>
  <c r="J187" i="13"/>
  <c r="K187" i="13" s="1"/>
  <c r="J186" i="13"/>
  <c r="K186" i="13" s="1"/>
  <c r="J185" i="13"/>
  <c r="K185" i="13" s="1"/>
  <c r="J184" i="13"/>
  <c r="K184" i="13" s="1"/>
  <c r="J183" i="13"/>
  <c r="K183" i="13" s="1"/>
  <c r="J182" i="13"/>
  <c r="K182" i="13" s="1"/>
  <c r="J181" i="13"/>
  <c r="K181" i="13" s="1"/>
  <c r="J180" i="13"/>
  <c r="K180" i="13" s="1"/>
  <c r="J179" i="13"/>
  <c r="K179" i="13" s="1"/>
  <c r="J178" i="13"/>
  <c r="K178" i="13" s="1"/>
  <c r="J177" i="13"/>
  <c r="K177" i="13" s="1"/>
  <c r="J176" i="13"/>
  <c r="K176" i="13" s="1"/>
  <c r="J175" i="13"/>
  <c r="K175" i="13" s="1"/>
  <c r="J174" i="13"/>
  <c r="K174" i="13" s="1"/>
  <c r="J173" i="13"/>
  <c r="K173" i="13" s="1"/>
  <c r="J172" i="13"/>
  <c r="K172" i="13" s="1"/>
  <c r="J171" i="13"/>
  <c r="K171" i="13" s="1"/>
  <c r="J170" i="13"/>
  <c r="K170" i="13" s="1"/>
  <c r="J169" i="13"/>
  <c r="K169" i="13" s="1"/>
  <c r="K168" i="13"/>
  <c r="J168" i="13"/>
  <c r="J167" i="13"/>
  <c r="K167" i="13" s="1"/>
  <c r="J166" i="13"/>
  <c r="K166" i="13" s="1"/>
  <c r="J165" i="13"/>
  <c r="K165" i="13" s="1"/>
  <c r="J164" i="13"/>
  <c r="K164" i="13" s="1"/>
  <c r="J163" i="13"/>
  <c r="K163" i="13" s="1"/>
  <c r="J162" i="13"/>
  <c r="K162" i="13" s="1"/>
  <c r="J161" i="13"/>
  <c r="K161" i="13" s="1"/>
  <c r="J160" i="13"/>
  <c r="K160" i="13" s="1"/>
  <c r="J159" i="13"/>
  <c r="K159" i="13" s="1"/>
  <c r="J158" i="13"/>
  <c r="K158" i="13" s="1"/>
  <c r="J157" i="13"/>
  <c r="K157" i="13" s="1"/>
  <c r="J156" i="13"/>
  <c r="K156" i="13" s="1"/>
  <c r="J155" i="13"/>
  <c r="K155" i="13" s="1"/>
  <c r="J154" i="13"/>
  <c r="K154" i="13" s="1"/>
  <c r="J153" i="13"/>
  <c r="K153" i="13" s="1"/>
  <c r="J152" i="13"/>
  <c r="K152" i="13" s="1"/>
  <c r="J151" i="13"/>
  <c r="K151" i="13" s="1"/>
  <c r="J150" i="13"/>
  <c r="K150" i="13" s="1"/>
  <c r="J149" i="13"/>
  <c r="K149" i="13" s="1"/>
  <c r="J148" i="13"/>
  <c r="K148" i="13" s="1"/>
  <c r="J147" i="13"/>
  <c r="K147" i="13" s="1"/>
  <c r="J146" i="13"/>
  <c r="K146" i="13" s="1"/>
  <c r="J145" i="13"/>
  <c r="K145" i="13" s="1"/>
  <c r="J144" i="13"/>
  <c r="K144" i="13" s="1"/>
  <c r="J143" i="13"/>
  <c r="K143" i="13" s="1"/>
  <c r="J142" i="13"/>
  <c r="K142" i="13" s="1"/>
  <c r="J141" i="13"/>
  <c r="K141" i="13" s="1"/>
  <c r="J140" i="13"/>
  <c r="K140" i="13" s="1"/>
  <c r="J139" i="13"/>
  <c r="K139" i="13" s="1"/>
  <c r="J138" i="13"/>
  <c r="K138" i="13" s="1"/>
  <c r="J137" i="13"/>
  <c r="K137" i="13" s="1"/>
  <c r="J136" i="13"/>
  <c r="K136" i="13" s="1"/>
  <c r="J135" i="13"/>
  <c r="K135" i="13" s="1"/>
  <c r="J134" i="13"/>
  <c r="K134" i="13" s="1"/>
  <c r="J133" i="13"/>
  <c r="K133" i="13" s="1"/>
  <c r="J132" i="13"/>
  <c r="K132" i="13" s="1"/>
  <c r="J131" i="13"/>
  <c r="K131" i="13" s="1"/>
  <c r="J130" i="13"/>
  <c r="K130" i="13" s="1"/>
  <c r="J129" i="13"/>
  <c r="K129" i="13" s="1"/>
  <c r="J128" i="13"/>
  <c r="K128" i="13" s="1"/>
  <c r="J127" i="13"/>
  <c r="K127" i="13" s="1"/>
  <c r="J126" i="13"/>
  <c r="K126" i="13" s="1"/>
  <c r="J125" i="13"/>
  <c r="K125" i="13" s="1"/>
  <c r="J124" i="13"/>
  <c r="K124" i="13" s="1"/>
  <c r="J123" i="13"/>
  <c r="K123" i="13" s="1"/>
  <c r="K122" i="13"/>
  <c r="J122" i="13"/>
  <c r="J121" i="13"/>
  <c r="K121" i="13" s="1"/>
  <c r="J120" i="13"/>
  <c r="K120" i="13" s="1"/>
  <c r="J119" i="13"/>
  <c r="K119" i="13" s="1"/>
  <c r="J118" i="13"/>
  <c r="K118" i="13" s="1"/>
  <c r="J117" i="13"/>
  <c r="K117" i="13" s="1"/>
  <c r="J116" i="13"/>
  <c r="K116" i="13" s="1"/>
  <c r="J115" i="13"/>
  <c r="K115" i="13" s="1"/>
  <c r="J114" i="13"/>
  <c r="K114" i="13" s="1"/>
  <c r="J113" i="13"/>
  <c r="K113" i="13" s="1"/>
  <c r="J112" i="13"/>
  <c r="K112" i="13" s="1"/>
  <c r="J111" i="13"/>
  <c r="K111" i="13" s="1"/>
  <c r="J110" i="13"/>
  <c r="K110" i="13" s="1"/>
  <c r="J109" i="13"/>
  <c r="K109" i="13" s="1"/>
  <c r="J108" i="13"/>
  <c r="K108" i="13" s="1"/>
  <c r="J107" i="13"/>
  <c r="K107" i="13" s="1"/>
  <c r="J106" i="13"/>
  <c r="K106" i="13" s="1"/>
  <c r="J105" i="13"/>
  <c r="K105" i="13" s="1"/>
  <c r="J104" i="13"/>
  <c r="K104" i="13" s="1"/>
  <c r="J103" i="13"/>
  <c r="K103" i="13" s="1"/>
  <c r="J102" i="13"/>
  <c r="K102" i="13" s="1"/>
  <c r="J101" i="13"/>
  <c r="K101" i="13" s="1"/>
  <c r="J100" i="13"/>
  <c r="K100" i="13" s="1"/>
  <c r="J99" i="13"/>
  <c r="K99" i="13" s="1"/>
  <c r="J98" i="13"/>
  <c r="K98" i="13" s="1"/>
  <c r="J97" i="13"/>
  <c r="K97" i="13" s="1"/>
  <c r="J96" i="13"/>
  <c r="K96" i="13" s="1"/>
  <c r="J95" i="13"/>
  <c r="K95" i="13" s="1"/>
  <c r="J94" i="13"/>
  <c r="K94" i="13" s="1"/>
  <c r="J93" i="13"/>
  <c r="K93" i="13" s="1"/>
  <c r="J92" i="13"/>
  <c r="K92" i="13" s="1"/>
  <c r="J91" i="13"/>
  <c r="K91" i="13" s="1"/>
  <c r="J90" i="13"/>
  <c r="K90" i="13" s="1"/>
  <c r="J89" i="13"/>
  <c r="K89" i="13" s="1"/>
  <c r="J88" i="13"/>
  <c r="K88" i="13" s="1"/>
  <c r="J87" i="13"/>
  <c r="K87" i="13" s="1"/>
  <c r="J86" i="13"/>
  <c r="K86" i="13" s="1"/>
  <c r="J85" i="13"/>
  <c r="K85" i="13" s="1"/>
  <c r="J84" i="13"/>
  <c r="K84" i="13" s="1"/>
  <c r="J83" i="13"/>
  <c r="K83" i="13" s="1"/>
  <c r="J82" i="13"/>
  <c r="K82" i="13" s="1"/>
  <c r="J81" i="13"/>
  <c r="K81" i="13" s="1"/>
  <c r="J80" i="13"/>
  <c r="K80" i="13" s="1"/>
  <c r="J79" i="13"/>
  <c r="K79" i="13" s="1"/>
  <c r="J78" i="13"/>
  <c r="K78" i="13" s="1"/>
  <c r="J77" i="13"/>
  <c r="K77" i="13" s="1"/>
  <c r="J76" i="13"/>
  <c r="K76" i="13" s="1"/>
  <c r="J75" i="13"/>
  <c r="K75" i="13" s="1"/>
  <c r="J74" i="13"/>
  <c r="K74" i="13" s="1"/>
  <c r="J73" i="13"/>
  <c r="K73" i="13" s="1"/>
  <c r="J72" i="13"/>
  <c r="K72" i="13" s="1"/>
  <c r="J71" i="13"/>
  <c r="K71" i="13" s="1"/>
  <c r="J70" i="13"/>
  <c r="K70" i="13" s="1"/>
  <c r="J69" i="13"/>
  <c r="K69" i="13" s="1"/>
  <c r="J68" i="13"/>
  <c r="K68" i="13" s="1"/>
  <c r="J67" i="13"/>
  <c r="K67" i="13" s="1"/>
  <c r="J66" i="13"/>
  <c r="K66" i="13" s="1"/>
  <c r="J65" i="13"/>
  <c r="K65" i="13" s="1"/>
  <c r="J64" i="13"/>
  <c r="K64" i="13" s="1"/>
  <c r="J63" i="13"/>
  <c r="K63" i="13" s="1"/>
  <c r="J62" i="13"/>
  <c r="K62" i="13" s="1"/>
  <c r="J61" i="13"/>
  <c r="K61" i="13" s="1"/>
  <c r="T60" i="13"/>
  <c r="J60" i="13"/>
  <c r="K60" i="13" s="1"/>
  <c r="J59" i="13"/>
  <c r="K59" i="13" s="1"/>
  <c r="J58" i="13"/>
  <c r="K58" i="13" s="1"/>
  <c r="J57" i="13"/>
  <c r="K57" i="13" s="1"/>
  <c r="J56" i="13"/>
  <c r="K56" i="13" s="1"/>
  <c r="J55" i="13"/>
  <c r="K55" i="13" s="1"/>
  <c r="J54" i="13"/>
  <c r="K54" i="13" s="1"/>
  <c r="J53" i="13"/>
  <c r="K53" i="13" s="1"/>
  <c r="J52" i="13"/>
  <c r="K52" i="13" s="1"/>
  <c r="J51" i="13"/>
  <c r="K51" i="13" s="1"/>
  <c r="J50" i="13"/>
  <c r="K50" i="13" s="1"/>
  <c r="J49" i="13"/>
  <c r="K49" i="13" s="1"/>
  <c r="J48" i="13"/>
  <c r="K48" i="13" s="1"/>
  <c r="J47" i="13"/>
  <c r="K47" i="13" s="1"/>
  <c r="J46" i="13"/>
  <c r="K46" i="13" s="1"/>
  <c r="J45" i="13"/>
  <c r="K45" i="13" s="1"/>
  <c r="K44" i="13"/>
  <c r="J44" i="13"/>
  <c r="J43" i="13"/>
  <c r="K43" i="13" s="1"/>
  <c r="J42" i="13"/>
  <c r="K42" i="13" s="1"/>
  <c r="J41" i="13"/>
  <c r="K41" i="13" s="1"/>
  <c r="J40" i="13"/>
  <c r="K40" i="13" s="1"/>
  <c r="J39" i="13"/>
  <c r="K39" i="13" s="1"/>
  <c r="J38" i="13"/>
  <c r="K38" i="13" s="1"/>
  <c r="J37" i="13"/>
  <c r="K37" i="13" s="1"/>
  <c r="J36" i="13"/>
  <c r="K36" i="13" s="1"/>
  <c r="J35" i="13"/>
  <c r="K35" i="13" s="1"/>
  <c r="J34" i="13"/>
  <c r="K34" i="13" s="1"/>
  <c r="J33" i="13"/>
  <c r="K33" i="13" s="1"/>
  <c r="J32" i="13"/>
  <c r="K32" i="13" s="1"/>
  <c r="J31" i="13"/>
  <c r="K31" i="13" s="1"/>
  <c r="J30" i="13"/>
  <c r="K30" i="13" s="1"/>
  <c r="J29" i="13"/>
  <c r="K29" i="13" s="1"/>
  <c r="J28" i="13"/>
  <c r="K28" i="13" s="1"/>
  <c r="J27" i="13"/>
  <c r="K27" i="13" s="1"/>
  <c r="J26" i="13"/>
  <c r="K26" i="13" s="1"/>
  <c r="J25" i="13"/>
  <c r="K25" i="13" s="1"/>
  <c r="J24" i="13"/>
  <c r="K24" i="13" s="1"/>
  <c r="J23" i="13"/>
  <c r="K23" i="13" s="1"/>
  <c r="J22" i="13"/>
  <c r="K22" i="13" s="1"/>
  <c r="J21" i="13"/>
  <c r="K21" i="13" s="1"/>
  <c r="J20" i="13"/>
  <c r="K20" i="13" s="1"/>
  <c r="J19" i="13"/>
  <c r="K19" i="13" s="1"/>
  <c r="J18" i="13"/>
  <c r="K18" i="13" s="1"/>
  <c r="J17" i="13"/>
  <c r="K17" i="13" s="1"/>
  <c r="J16" i="13"/>
  <c r="K16" i="13" s="1"/>
  <c r="J15" i="13"/>
  <c r="K15" i="13" s="1"/>
  <c r="J14" i="13"/>
  <c r="K14" i="13" s="1"/>
  <c r="T13" i="13"/>
  <c r="J13" i="13"/>
  <c r="K13" i="13" s="1"/>
  <c r="J12" i="13"/>
  <c r="K12" i="13" s="1"/>
  <c r="J11" i="13"/>
  <c r="K11" i="13" s="1"/>
  <c r="J10" i="13"/>
  <c r="K10" i="13" s="1"/>
  <c r="J9" i="13"/>
  <c r="K9" i="13" s="1"/>
  <c r="J8" i="13"/>
  <c r="K8" i="13" s="1"/>
  <c r="J7" i="13"/>
  <c r="K7" i="13" s="1"/>
  <c r="J6" i="13"/>
  <c r="K6" i="13" s="1"/>
  <c r="J247" i="8"/>
  <c r="K247" i="8" s="1"/>
  <c r="J246" i="8"/>
  <c r="K246" i="8" s="1"/>
  <c r="J245" i="8"/>
  <c r="K245" i="8" s="1"/>
  <c r="J244" i="8"/>
  <c r="K244" i="8" s="1"/>
  <c r="J243" i="8"/>
  <c r="K243" i="8" s="1"/>
  <c r="J242" i="8"/>
  <c r="K242" i="8" s="1"/>
  <c r="K241" i="8"/>
  <c r="J241" i="8"/>
  <c r="K240" i="8"/>
  <c r="J240" i="8"/>
  <c r="J239" i="8"/>
  <c r="K239" i="8" s="1"/>
  <c r="J238" i="8"/>
  <c r="K238" i="8" s="1"/>
  <c r="K237" i="8"/>
  <c r="J237" i="8"/>
  <c r="K236" i="8"/>
  <c r="J236" i="8"/>
  <c r="J235" i="8"/>
  <c r="K235" i="8" s="1"/>
  <c r="J234" i="8"/>
  <c r="K234" i="8" s="1"/>
  <c r="J233" i="8"/>
  <c r="K233" i="8" s="1"/>
  <c r="K232" i="8"/>
  <c r="J232" i="8"/>
  <c r="J231" i="8"/>
  <c r="K231" i="8" s="1"/>
  <c r="J230" i="8"/>
  <c r="K230" i="8" s="1"/>
  <c r="K229" i="8"/>
  <c r="J229" i="8"/>
  <c r="J228" i="8"/>
  <c r="K228" i="8" s="1"/>
  <c r="J227" i="8"/>
  <c r="K227" i="8" s="1"/>
  <c r="J226" i="8"/>
  <c r="K226" i="8" s="1"/>
  <c r="J225" i="8"/>
  <c r="K225" i="8" s="1"/>
  <c r="J224" i="8"/>
  <c r="K224" i="8" s="1"/>
  <c r="J223" i="8"/>
  <c r="K223" i="8" s="1"/>
  <c r="J222" i="8"/>
  <c r="K222" i="8" s="1"/>
  <c r="J221" i="8"/>
  <c r="K221" i="8" s="1"/>
  <c r="J220" i="8"/>
  <c r="K220" i="8" s="1"/>
  <c r="J219" i="8"/>
  <c r="K219" i="8" s="1"/>
  <c r="J218" i="8"/>
  <c r="K218" i="8" s="1"/>
  <c r="J217" i="8"/>
  <c r="K217" i="8" s="1"/>
  <c r="J216" i="8"/>
  <c r="K216" i="8" s="1"/>
  <c r="J215" i="8"/>
  <c r="K215" i="8" s="1"/>
  <c r="J214" i="8"/>
  <c r="K214" i="8" s="1"/>
  <c r="J213" i="8"/>
  <c r="K213" i="8" s="1"/>
  <c r="J212" i="8"/>
  <c r="K212" i="8" s="1"/>
  <c r="J211" i="8"/>
  <c r="K211" i="8" s="1"/>
  <c r="J210" i="8"/>
  <c r="K210" i="8" s="1"/>
  <c r="J209" i="8"/>
  <c r="K209" i="8" s="1"/>
  <c r="J208" i="8"/>
  <c r="K208" i="8" s="1"/>
  <c r="J207" i="8"/>
  <c r="K207" i="8" s="1"/>
  <c r="J206" i="8"/>
  <c r="K206" i="8" s="1"/>
  <c r="J205" i="8"/>
  <c r="K205" i="8" s="1"/>
  <c r="J204" i="8"/>
  <c r="K204" i="8" s="1"/>
  <c r="J203" i="8"/>
  <c r="K203" i="8" s="1"/>
  <c r="J202" i="8"/>
  <c r="K202" i="8" s="1"/>
  <c r="J201" i="8"/>
  <c r="K201" i="8" s="1"/>
  <c r="K200" i="8"/>
  <c r="J200" i="8"/>
  <c r="J199" i="8"/>
  <c r="K199" i="8" s="1"/>
  <c r="J198" i="8"/>
  <c r="K198" i="8" s="1"/>
  <c r="J197" i="8"/>
  <c r="K197" i="8" s="1"/>
  <c r="K196" i="8"/>
  <c r="J196" i="8"/>
  <c r="J195" i="8"/>
  <c r="K195" i="8" s="1"/>
  <c r="J194" i="8"/>
  <c r="K194" i="8" s="1"/>
  <c r="J193" i="8"/>
  <c r="K193" i="8" s="1"/>
  <c r="K192" i="8"/>
  <c r="J192" i="8"/>
  <c r="J191" i="8"/>
  <c r="K191" i="8" s="1"/>
  <c r="J190" i="8"/>
  <c r="K190" i="8" s="1"/>
  <c r="J189" i="8"/>
  <c r="K189" i="8" s="1"/>
  <c r="K188" i="8"/>
  <c r="J188" i="8"/>
  <c r="J187" i="8"/>
  <c r="K187" i="8" s="1"/>
  <c r="J186" i="8"/>
  <c r="K186" i="8" s="1"/>
  <c r="J185" i="8"/>
  <c r="K185" i="8" s="1"/>
  <c r="J184" i="8"/>
  <c r="K184" i="8" s="1"/>
  <c r="J183" i="8"/>
  <c r="K183" i="8" s="1"/>
  <c r="J182" i="8"/>
  <c r="K182" i="8" s="1"/>
  <c r="J181" i="8"/>
  <c r="K181" i="8" s="1"/>
  <c r="J180" i="8"/>
  <c r="K180" i="8" s="1"/>
  <c r="J179" i="8"/>
  <c r="K179" i="8" s="1"/>
  <c r="J178" i="8"/>
  <c r="K178" i="8" s="1"/>
  <c r="J177" i="8"/>
  <c r="K177" i="8" s="1"/>
  <c r="J176" i="8"/>
  <c r="K176" i="8" s="1"/>
  <c r="J175" i="8"/>
  <c r="K175" i="8" s="1"/>
  <c r="J174" i="8"/>
  <c r="K174" i="8" s="1"/>
  <c r="J173" i="8"/>
  <c r="K173" i="8" s="1"/>
  <c r="J172" i="8"/>
  <c r="K172" i="8" s="1"/>
  <c r="J171" i="8"/>
  <c r="K171" i="8" s="1"/>
  <c r="J170" i="8"/>
  <c r="K170" i="8" s="1"/>
  <c r="J169" i="8"/>
  <c r="K169" i="8" s="1"/>
  <c r="J168" i="8"/>
  <c r="K168" i="8" s="1"/>
  <c r="J167" i="8"/>
  <c r="K167" i="8" s="1"/>
  <c r="J166" i="8"/>
  <c r="K166" i="8" s="1"/>
  <c r="J165" i="8"/>
  <c r="K165" i="8" s="1"/>
  <c r="K164" i="8"/>
  <c r="J164" i="8"/>
  <c r="J163" i="8"/>
  <c r="K163" i="8" s="1"/>
  <c r="J162" i="8"/>
  <c r="K162" i="8" s="1"/>
  <c r="J161" i="8"/>
  <c r="K161" i="8" s="1"/>
  <c r="K160" i="8"/>
  <c r="J160" i="8"/>
  <c r="J159" i="8"/>
  <c r="K159" i="8" s="1"/>
  <c r="J158" i="8"/>
  <c r="K158" i="8" s="1"/>
  <c r="J157" i="8"/>
  <c r="K157" i="8" s="1"/>
  <c r="K156" i="8"/>
  <c r="J156" i="8"/>
  <c r="J155" i="8"/>
  <c r="K155" i="8" s="1"/>
  <c r="J154" i="8"/>
  <c r="K154" i="8" s="1"/>
  <c r="J153" i="8"/>
  <c r="K153" i="8" s="1"/>
  <c r="J152" i="8"/>
  <c r="K152" i="8" s="1"/>
  <c r="J151" i="8"/>
  <c r="K151" i="8" s="1"/>
  <c r="J150" i="8"/>
  <c r="K150" i="8" s="1"/>
  <c r="J149" i="8"/>
  <c r="K149" i="8" s="1"/>
  <c r="K148" i="8"/>
  <c r="J148" i="8"/>
  <c r="J147" i="8"/>
  <c r="K147" i="8" s="1"/>
  <c r="J146" i="8"/>
  <c r="K146" i="8" s="1"/>
  <c r="J145" i="8"/>
  <c r="K145" i="8" s="1"/>
  <c r="J144" i="8"/>
  <c r="K144" i="8" s="1"/>
  <c r="J143" i="8"/>
  <c r="K143" i="8" s="1"/>
  <c r="J142" i="8"/>
  <c r="K142" i="8" s="1"/>
  <c r="J141" i="8"/>
  <c r="K141" i="8" s="1"/>
  <c r="J140" i="8"/>
  <c r="K140" i="8" s="1"/>
  <c r="J139" i="8"/>
  <c r="K139" i="8" s="1"/>
  <c r="J138" i="8"/>
  <c r="K138" i="8" s="1"/>
  <c r="J137" i="8"/>
  <c r="K137" i="8" s="1"/>
  <c r="J136" i="8"/>
  <c r="K136" i="8" s="1"/>
  <c r="J135" i="8"/>
  <c r="K135" i="8" s="1"/>
  <c r="J134" i="8"/>
  <c r="K134" i="8" s="1"/>
  <c r="J133" i="8"/>
  <c r="K133" i="8" s="1"/>
  <c r="K132" i="8"/>
  <c r="J132" i="8"/>
  <c r="J131" i="8"/>
  <c r="K131" i="8" s="1"/>
  <c r="J130" i="8"/>
  <c r="K130" i="8" s="1"/>
  <c r="J129" i="8"/>
  <c r="K129" i="8" s="1"/>
  <c r="K128" i="8"/>
  <c r="J128" i="8"/>
  <c r="J127" i="8"/>
  <c r="K127" i="8" s="1"/>
  <c r="J126" i="8"/>
  <c r="K126" i="8" s="1"/>
  <c r="J125" i="8"/>
  <c r="K125" i="8" s="1"/>
  <c r="K124" i="8"/>
  <c r="J124" i="8"/>
  <c r="J123" i="8"/>
  <c r="K123" i="8" s="1"/>
  <c r="J122" i="8"/>
  <c r="K122" i="8" s="1"/>
  <c r="J121" i="8"/>
  <c r="K121" i="8" s="1"/>
  <c r="J120" i="8"/>
  <c r="K120" i="8" s="1"/>
  <c r="J119" i="8"/>
  <c r="K119" i="8" s="1"/>
  <c r="J118" i="8"/>
  <c r="K118" i="8" s="1"/>
  <c r="J117" i="8"/>
  <c r="K117" i="8" s="1"/>
  <c r="K116" i="8"/>
  <c r="J116" i="8"/>
  <c r="J115" i="8"/>
  <c r="K115" i="8" s="1"/>
  <c r="J114" i="8"/>
  <c r="K114" i="8" s="1"/>
  <c r="J113" i="8"/>
  <c r="K113" i="8" s="1"/>
  <c r="J112" i="8"/>
  <c r="K112" i="8" s="1"/>
  <c r="J111" i="8"/>
  <c r="K111" i="8" s="1"/>
  <c r="J110" i="8"/>
  <c r="K110" i="8" s="1"/>
  <c r="J109" i="8"/>
  <c r="K109" i="8" s="1"/>
  <c r="J108" i="8"/>
  <c r="K108" i="8" s="1"/>
  <c r="J107" i="8"/>
  <c r="K107" i="8" s="1"/>
  <c r="J106" i="8"/>
  <c r="K106" i="8" s="1"/>
  <c r="J105" i="8"/>
  <c r="K105" i="8" s="1"/>
  <c r="J104" i="8"/>
  <c r="K104" i="8" s="1"/>
  <c r="J103" i="8"/>
  <c r="K103" i="8" s="1"/>
  <c r="J102" i="8"/>
  <c r="K102" i="8" s="1"/>
  <c r="J101" i="8"/>
  <c r="K101" i="8" s="1"/>
  <c r="K100" i="8"/>
  <c r="J100" i="8"/>
  <c r="J99" i="8"/>
  <c r="K99" i="8" s="1"/>
  <c r="J98" i="8"/>
  <c r="K98" i="8" s="1"/>
  <c r="J97" i="8"/>
  <c r="K97" i="8" s="1"/>
  <c r="K96" i="8"/>
  <c r="J96" i="8"/>
  <c r="J95" i="8"/>
  <c r="K95" i="8" s="1"/>
  <c r="J94" i="8"/>
  <c r="K94" i="8" s="1"/>
  <c r="J93" i="8"/>
  <c r="K93" i="8" s="1"/>
  <c r="K92" i="8"/>
  <c r="J92" i="8"/>
  <c r="J91" i="8"/>
  <c r="K91" i="8" s="1"/>
  <c r="J90" i="8"/>
  <c r="K90" i="8" s="1"/>
  <c r="J89" i="8"/>
  <c r="K89" i="8" s="1"/>
  <c r="J88" i="8"/>
  <c r="K88" i="8" s="1"/>
  <c r="J87" i="8"/>
  <c r="K87" i="8" s="1"/>
  <c r="J86" i="8"/>
  <c r="K86" i="8" s="1"/>
  <c r="J85" i="8"/>
  <c r="K85" i="8" s="1"/>
  <c r="K84" i="8"/>
  <c r="J84" i="8"/>
  <c r="J83" i="8"/>
  <c r="K83" i="8" s="1"/>
  <c r="J82" i="8"/>
  <c r="K82" i="8" s="1"/>
  <c r="J81" i="8"/>
  <c r="K81" i="8" s="1"/>
  <c r="J80" i="8"/>
  <c r="K80" i="8" s="1"/>
  <c r="J79" i="8"/>
  <c r="K79" i="8" s="1"/>
  <c r="J78" i="8"/>
  <c r="K78" i="8" s="1"/>
  <c r="J77" i="8"/>
  <c r="K77" i="8" s="1"/>
  <c r="J76" i="8"/>
  <c r="K76" i="8" s="1"/>
  <c r="J75" i="8"/>
  <c r="K75" i="8" s="1"/>
  <c r="J74" i="8"/>
  <c r="K74" i="8" s="1"/>
  <c r="J73" i="8"/>
  <c r="K73" i="8" s="1"/>
  <c r="J72" i="8"/>
  <c r="K72" i="8" s="1"/>
  <c r="J71" i="8"/>
  <c r="K71" i="8" s="1"/>
  <c r="J70" i="8"/>
  <c r="K70" i="8" s="1"/>
  <c r="J69" i="8"/>
  <c r="K69" i="8" s="1"/>
  <c r="K68" i="8"/>
  <c r="J68" i="8"/>
  <c r="J67" i="8"/>
  <c r="K67" i="8" s="1"/>
  <c r="J66" i="8"/>
  <c r="K66" i="8" s="1"/>
  <c r="J65" i="8"/>
  <c r="K65" i="8" s="1"/>
  <c r="K64" i="8"/>
  <c r="J64" i="8"/>
  <c r="J63" i="8"/>
  <c r="K63" i="8" s="1"/>
  <c r="J62" i="8"/>
  <c r="K62" i="8" s="1"/>
  <c r="J61" i="8"/>
  <c r="K61" i="8" s="1"/>
  <c r="K60" i="8"/>
  <c r="J60" i="8"/>
  <c r="J59" i="8"/>
  <c r="K59" i="8" s="1"/>
  <c r="J58" i="8"/>
  <c r="K58" i="8" s="1"/>
  <c r="J57" i="8"/>
  <c r="K57" i="8" s="1"/>
  <c r="J56" i="8"/>
  <c r="K56" i="8" s="1"/>
  <c r="J55" i="8"/>
  <c r="K55" i="8" s="1"/>
  <c r="J54" i="8"/>
  <c r="K54" i="8" s="1"/>
  <c r="J53" i="8"/>
  <c r="K53" i="8" s="1"/>
  <c r="K52" i="8"/>
  <c r="J52" i="8"/>
  <c r="J51" i="8"/>
  <c r="K51" i="8" s="1"/>
  <c r="J50" i="8"/>
  <c r="K50" i="8" s="1"/>
  <c r="J49" i="8"/>
  <c r="K49" i="8" s="1"/>
  <c r="J48" i="8"/>
  <c r="K48" i="8" s="1"/>
  <c r="J47" i="8"/>
  <c r="K47" i="8" s="1"/>
  <c r="J46" i="8"/>
  <c r="K46" i="8" s="1"/>
  <c r="J45" i="8"/>
  <c r="K45" i="8" s="1"/>
  <c r="J44" i="8"/>
  <c r="K44" i="8" s="1"/>
  <c r="J43" i="8"/>
  <c r="K43" i="8" s="1"/>
  <c r="J42" i="8"/>
  <c r="K42" i="8" s="1"/>
  <c r="J41" i="8"/>
  <c r="K41" i="8" s="1"/>
  <c r="J40" i="8"/>
  <c r="K40" i="8" s="1"/>
  <c r="J39" i="8"/>
  <c r="K39" i="8" s="1"/>
  <c r="J38" i="8"/>
  <c r="K38" i="8" s="1"/>
  <c r="J37" i="8"/>
  <c r="K37" i="8" s="1"/>
  <c r="K36" i="8"/>
  <c r="J36" i="8"/>
  <c r="J35" i="8"/>
  <c r="K35" i="8" s="1"/>
  <c r="J34" i="8"/>
  <c r="K34" i="8" s="1"/>
  <c r="J33" i="8"/>
  <c r="K33" i="8" s="1"/>
  <c r="K32" i="8"/>
  <c r="J32" i="8"/>
  <c r="J31" i="8"/>
  <c r="K31" i="8" s="1"/>
  <c r="J30" i="8"/>
  <c r="K30" i="8" s="1"/>
  <c r="J29" i="8"/>
  <c r="K29" i="8" s="1"/>
  <c r="K28" i="8"/>
  <c r="J28" i="8"/>
  <c r="J27" i="8"/>
  <c r="K27" i="8" s="1"/>
  <c r="J26" i="8"/>
  <c r="K26" i="8" s="1"/>
  <c r="J25" i="8"/>
  <c r="K25" i="8" s="1"/>
  <c r="J24" i="8"/>
  <c r="K24" i="8" s="1"/>
  <c r="J23" i="8"/>
  <c r="K23" i="8" s="1"/>
  <c r="J22" i="8"/>
  <c r="K22" i="8" s="1"/>
  <c r="J21" i="8"/>
  <c r="K21" i="8" s="1"/>
  <c r="K20" i="8"/>
  <c r="J20" i="8"/>
  <c r="J19" i="8"/>
  <c r="K19" i="8" s="1"/>
  <c r="J18" i="8"/>
  <c r="K18" i="8" s="1"/>
  <c r="J17" i="8"/>
  <c r="K17" i="8" s="1"/>
  <c r="J16" i="8"/>
  <c r="K16" i="8" s="1"/>
  <c r="J15" i="8"/>
  <c r="K15" i="8" s="1"/>
  <c r="J14" i="8"/>
  <c r="K14" i="8" s="1"/>
  <c r="J13" i="8"/>
  <c r="K13" i="8" s="1"/>
  <c r="J12" i="8"/>
  <c r="K12" i="8" s="1"/>
  <c r="J11" i="8"/>
  <c r="K11" i="8" s="1"/>
  <c r="J10" i="8"/>
  <c r="K10" i="8" s="1"/>
  <c r="J9" i="8"/>
  <c r="K9" i="8" s="1"/>
  <c r="J8" i="8"/>
  <c r="K8" i="8" s="1"/>
</calcChain>
</file>

<file path=xl/sharedStrings.xml><?xml version="1.0" encoding="utf-8"?>
<sst xmlns="http://schemas.openxmlformats.org/spreadsheetml/2006/main" count="1082" uniqueCount="90">
  <si>
    <r>
      <t>P</t>
    </r>
    <r>
      <rPr>
        <b/>
        <vertAlign val="subscript"/>
        <sz val="11"/>
        <color theme="1"/>
        <rFont val="Calibri"/>
        <family val="2"/>
        <scheme val="minor"/>
      </rPr>
      <t>seco</t>
    </r>
    <r>
      <rPr>
        <b/>
        <sz val="11"/>
        <color theme="1"/>
        <rFont val="Calibri"/>
        <family val="2"/>
        <scheme val="minor"/>
      </rPr>
      <t xml:space="preserve"> (kg)</t>
    </r>
  </si>
  <si>
    <t>Gbs</t>
  </si>
  <si>
    <r>
      <t>P</t>
    </r>
    <r>
      <rPr>
        <b/>
        <vertAlign val="subscript"/>
        <sz val="11"/>
        <color theme="1"/>
        <rFont val="Calibri"/>
        <family val="2"/>
        <scheme val="minor"/>
      </rPr>
      <t>sum</t>
    </r>
    <r>
      <rPr>
        <b/>
        <sz val="11"/>
        <color theme="1"/>
        <rFont val="Calibri"/>
        <family val="2"/>
        <scheme val="minor"/>
      </rPr>
      <t xml:space="preserve"> (kg)</t>
    </r>
  </si>
  <si>
    <r>
      <t>P</t>
    </r>
    <r>
      <rPr>
        <b/>
        <vertAlign val="subscript"/>
        <sz val="11"/>
        <color theme="1"/>
        <rFont val="Calibri"/>
        <family val="2"/>
        <scheme val="minor"/>
      </rPr>
      <t>sss</t>
    </r>
    <r>
      <rPr>
        <b/>
        <sz val="11"/>
        <color theme="1"/>
        <rFont val="Calibri"/>
        <family val="2"/>
        <scheme val="minor"/>
      </rPr>
      <t xml:space="preserve"> (kg)</t>
    </r>
  </si>
  <si>
    <r>
      <t>% Vacíos (7</t>
    </r>
    <r>
      <rPr>
        <b/>
        <sz val="11"/>
        <color theme="1"/>
        <rFont val="Calibri"/>
        <family val="2"/>
      </rPr>
      <t>±1)</t>
    </r>
  </si>
  <si>
    <t>N° Prisma</t>
  </si>
  <si>
    <t>N° Viga</t>
  </si>
  <si>
    <t>TMN (mm)</t>
  </si>
  <si>
    <t>No cumple</t>
  </si>
  <si>
    <t>N° Viga (fatiga)</t>
  </si>
  <si>
    <t>Deformación unitaria</t>
  </si>
  <si>
    <t>Fecha ensayo</t>
  </si>
  <si>
    <t>Número de ciclos</t>
  </si>
  <si>
    <t>Initial Tensile stress (kPa)</t>
  </si>
  <si>
    <t>PRUEBA DE FATIGA</t>
  </si>
  <si>
    <t>Rigidez inicial (MPa)</t>
  </si>
  <si>
    <t>Rigidez final (Mpa)</t>
  </si>
  <si>
    <t>Asfalto efectivo (%)</t>
  </si>
  <si>
    <t>Asfalto sobre MAC (%)</t>
  </si>
  <si>
    <t>Gmb</t>
  </si>
  <si>
    <t>Gmm</t>
  </si>
  <si>
    <t>Polvo-Asfalto</t>
  </si>
  <si>
    <t>% pasando #4</t>
  </si>
  <si>
    <t>% pasando #8</t>
  </si>
  <si>
    <t>% pasando #200</t>
  </si>
  <si>
    <t>PROPIEDADES VOLUMÉTRICAS MAC</t>
  </si>
  <si>
    <t>0,0150 varía el tarar la canasta cuando el agua del prisma se rebasa</t>
  </si>
  <si>
    <t>% pasando 1/2"</t>
  </si>
  <si>
    <t>% vacíos</t>
  </si>
  <si>
    <t>VMA (%)</t>
  </si>
  <si>
    <t>VFA (%)</t>
  </si>
  <si>
    <r>
      <t>Energía disipada (kJ/m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</si>
  <si>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Force Amplitude (N)</t>
  </si>
  <si>
    <t>Mezcla N°</t>
  </si>
  <si>
    <t>Bloque N°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</si>
  <si>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</si>
  <si>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</si>
  <si>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</si>
  <si>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</si>
  <si>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</si>
  <si>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</si>
  <si>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</si>
  <si>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</si>
  <si>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</si>
  <si>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</si>
  <si>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</si>
  <si>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</si>
  <si>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</si>
  <si>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</si>
  <si>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</si>
  <si>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</si>
  <si>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</si>
  <si>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</si>
  <si>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</si>
  <si>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</si>
  <si>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</si>
  <si>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</si>
  <si>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</si>
  <si>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</si>
  <si>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</si>
  <si>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</si>
  <si>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</si>
  <si>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</si>
  <si>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</si>
  <si>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</si>
  <si>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</si>
  <si>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</si>
  <si>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</si>
  <si>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</si>
  <si>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</si>
  <si>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</si>
  <si>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</si>
  <si>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</si>
  <si>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</si>
  <si>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</si>
  <si>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</si>
  <si>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</si>
  <si>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</si>
  <si>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</si>
  <si>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</si>
  <si>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</si>
  <si>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</si>
  <si>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</si>
  <si>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quitar tmn</t>
  </si>
  <si>
    <t>Vacíos PV</t>
  </si>
  <si>
    <t>PRUEBA DE Gbs Y %Vacíos</t>
  </si>
  <si>
    <r>
      <t>%Vacíos (7</t>
    </r>
    <r>
      <rPr>
        <b/>
        <sz val="11"/>
        <color theme="1"/>
        <rFont val="Calibri"/>
        <family val="2"/>
      </rPr>
      <t>±1)</t>
    </r>
  </si>
  <si>
    <t>Si hay colinealidad…</t>
  </si>
  <si>
    <t>Descartar esto</t>
  </si>
  <si>
    <t>Predominar 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</si>
</sst>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"/>
    <numFmt numFmtId="166" formatCode="0.0"/>
    <numFmt numFmtId="167" formatCode="#,##0.000"/>
    <numFmt numFmtId="168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sz val="11"/>
      <color rgb="FFB005C7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4" borderId="16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16" xfId="0" applyNumberFormat="1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1" borderId="19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B005C7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9A2B-64EB-4BB4-8523-D09A01BA7547}">
  <dimension ref="A1:V247"/>
  <sheetViews>
    <sheetView zoomScale="154" zoomScaleNormal="154" workbookViewId="0">
      <selection activeCell="A6" sqref="A6:V247"/>
    </sheetView>
  </sheetViews>
  <sheetFormatPr baseColWidth="10" defaultColWidth="11.5" defaultRowHeight="15" x14ac:dyDescent="0.2"/>
  <cols>
    <col min="1" max="2" width="11.5" style="1"/>
    <col min="3" max="3" width="13" style="28" bestFit="1" customWidth="1"/>
    <col min="4" max="4" width="10.5" style="1" bestFit="1" customWidth="1"/>
    <col min="5" max="5" width="9.5" style="27" bestFit="1" customWidth="1"/>
    <col min="6" max="6" width="7.5" style="27" bestFit="1" customWidth="1"/>
    <col min="7" max="7" width="10.6640625" style="8" hidden="1" customWidth="1"/>
    <col min="8" max="9" width="0" style="8" hidden="1" customWidth="1"/>
    <col min="10" max="10" width="11.5" style="8"/>
    <col min="11" max="11" width="14.33203125" style="8" bestFit="1" customWidth="1"/>
    <col min="12" max="12" width="18.5" style="1" bestFit="1" customWidth="1"/>
    <col min="13" max="13" width="21" style="1" bestFit="1" customWidth="1"/>
    <col min="14" max="15" width="12.5" style="1" customWidth="1"/>
    <col min="16" max="16" width="13.5" style="1" customWidth="1"/>
    <col min="17" max="17" width="13.6640625" style="1" customWidth="1"/>
    <col min="18" max="18" width="14.33203125" style="1" customWidth="1"/>
    <col min="19" max="20" width="14.6640625" style="1" customWidth="1"/>
    <col min="21" max="21" width="14.33203125" style="1" customWidth="1"/>
    <col min="22" max="22" width="14.83203125" style="1" bestFit="1" customWidth="1"/>
    <col min="23" max="16384" width="11.5" style="1"/>
  </cols>
  <sheetData>
    <row r="1" spans="1:22" x14ac:dyDescent="0.2">
      <c r="C1" s="1"/>
      <c r="E1" s="6"/>
      <c r="F1" s="6"/>
      <c r="G1" s="1"/>
      <c r="H1" s="1"/>
      <c r="I1" s="1"/>
      <c r="J1" s="1"/>
      <c r="K1" s="1"/>
    </row>
    <row r="2" spans="1:22" x14ac:dyDescent="0.2">
      <c r="C2" s="1"/>
      <c r="E2" s="6"/>
      <c r="F2" s="6"/>
      <c r="G2" s="85" t="s">
        <v>26</v>
      </c>
      <c r="H2" s="85"/>
      <c r="I2" s="85"/>
      <c r="J2" s="1"/>
      <c r="K2" s="1"/>
    </row>
    <row r="3" spans="1:22" ht="15" customHeight="1" x14ac:dyDescent="0.2">
      <c r="C3" s="1"/>
      <c r="E3" s="6"/>
      <c r="F3" s="6"/>
      <c r="G3" s="85"/>
      <c r="H3" s="85"/>
      <c r="I3" s="85"/>
      <c r="J3" s="1"/>
      <c r="L3" s="86" t="s">
        <v>87</v>
      </c>
      <c r="M3" s="87"/>
    </row>
    <row r="4" spans="1:22" ht="15" customHeight="1" x14ac:dyDescent="0.2">
      <c r="D4" s="1" t="s">
        <v>83</v>
      </c>
      <c r="E4" s="6"/>
      <c r="F4" s="6"/>
      <c r="G4" s="85"/>
      <c r="H4" s="85"/>
      <c r="I4" s="85"/>
      <c r="J4" s="1"/>
      <c r="K4" s="25" t="s">
        <v>8</v>
      </c>
      <c r="L4" s="82" t="s">
        <v>89</v>
      </c>
      <c r="M4" s="83" t="s">
        <v>88</v>
      </c>
      <c r="S4" s="52"/>
    </row>
    <row r="5" spans="1:22" ht="8.25" customHeight="1" x14ac:dyDescent="0.2">
      <c r="C5" s="1"/>
      <c r="E5" s="1"/>
      <c r="F5" s="1"/>
      <c r="G5" s="1"/>
      <c r="H5" s="1"/>
      <c r="I5" s="1"/>
      <c r="J5"/>
      <c r="K5" s="1"/>
    </row>
    <row r="6" spans="1:22" ht="21.75" customHeight="1" x14ac:dyDescent="0.2">
      <c r="A6" s="88" t="s">
        <v>85</v>
      </c>
      <c r="B6" s="88"/>
      <c r="C6" s="88"/>
      <c r="D6" s="88"/>
      <c r="E6" s="88"/>
      <c r="F6" s="88"/>
      <c r="G6" s="88"/>
      <c r="H6" s="88"/>
      <c r="I6" s="88"/>
      <c r="J6" s="88"/>
      <c r="K6" s="89"/>
      <c r="L6" s="90" t="s">
        <v>25</v>
      </c>
      <c r="M6" s="90"/>
      <c r="N6" s="90"/>
      <c r="O6" s="90"/>
      <c r="P6" s="90"/>
      <c r="Q6" s="90"/>
      <c r="R6" s="90"/>
      <c r="S6" s="90"/>
      <c r="T6" s="90"/>
      <c r="U6" s="90"/>
      <c r="V6" s="90"/>
    </row>
    <row r="7" spans="1:22" ht="18" thickBot="1" x14ac:dyDescent="0.25">
      <c r="A7" s="3" t="s">
        <v>33</v>
      </c>
      <c r="B7" s="3" t="s">
        <v>34</v>
      </c>
      <c r="C7" s="77" t="s">
        <v>20</v>
      </c>
      <c r="D7" s="3" t="s">
        <v>7</v>
      </c>
      <c r="E7" s="3" t="s">
        <v>5</v>
      </c>
      <c r="F7" s="3" t="s">
        <v>6</v>
      </c>
      <c r="G7" s="3" t="s">
        <v>0</v>
      </c>
      <c r="H7" s="3" t="s">
        <v>2</v>
      </c>
      <c r="I7" s="3" t="s">
        <v>3</v>
      </c>
      <c r="J7" s="3" t="s">
        <v>19</v>
      </c>
      <c r="K7" s="37" t="s">
        <v>4</v>
      </c>
      <c r="L7" s="72" t="s">
        <v>17</v>
      </c>
      <c r="M7" s="72" t="s">
        <v>18</v>
      </c>
      <c r="N7" s="72" t="s">
        <v>84</v>
      </c>
      <c r="O7" s="72" t="s">
        <v>1</v>
      </c>
      <c r="P7" s="72" t="s">
        <v>29</v>
      </c>
      <c r="Q7" s="72" t="s">
        <v>30</v>
      </c>
      <c r="R7" s="72" t="s">
        <v>21</v>
      </c>
      <c r="S7" s="72" t="s">
        <v>27</v>
      </c>
      <c r="T7" s="72" t="s">
        <v>22</v>
      </c>
      <c r="U7" s="72" t="s">
        <v>23</v>
      </c>
      <c r="V7" s="72" t="s">
        <v>24</v>
      </c>
    </row>
    <row r="8" spans="1:22" x14ac:dyDescent="0.2">
      <c r="A8" s="1">
        <v>1</v>
      </c>
      <c r="B8" s="1" t="s">
        <v>35</v>
      </c>
      <c r="C8" s="28">
        <v>2.3820000000000001</v>
      </c>
      <c r="D8" s="1">
        <v>12.5</v>
      </c>
      <c r="E8" s="26">
        <v>1</v>
      </c>
      <c r="F8" s="26">
        <v>0</v>
      </c>
      <c r="G8" s="21">
        <v>24.161999999999999</v>
      </c>
      <c r="H8" s="22">
        <v>13.37</v>
      </c>
      <c r="I8" s="23">
        <v>24.534500000000001</v>
      </c>
      <c r="J8" s="24">
        <f>+IF(G8=0,"",G8/(I8-H8))</f>
        <v>2.1641811097675663</v>
      </c>
      <c r="K8" s="24">
        <f t="shared" ref="K8:K71" si="0">+IF(G8=0,"",(1-(J8/C8))*100)</f>
        <v>9.1443698670207301</v>
      </c>
      <c r="L8" s="56">
        <v>4.8899999999999997</v>
      </c>
      <c r="M8" s="56">
        <v>5.6</v>
      </c>
      <c r="N8" s="1">
        <v>4.7</v>
      </c>
      <c r="O8" s="28">
        <v>2.2709999999999999</v>
      </c>
      <c r="P8" s="60">
        <v>15.5</v>
      </c>
      <c r="Q8" s="1">
        <v>70</v>
      </c>
      <c r="R8" s="60">
        <v>1.2</v>
      </c>
      <c r="S8" s="1">
        <v>90</v>
      </c>
      <c r="T8" s="1">
        <v>56</v>
      </c>
      <c r="U8" s="1">
        <v>39</v>
      </c>
      <c r="V8" s="36">
        <v>6</v>
      </c>
    </row>
    <row r="9" spans="1:22" x14ac:dyDescent="0.2">
      <c r="A9" s="1">
        <v>1</v>
      </c>
      <c r="B9" s="1" t="s">
        <v>35</v>
      </c>
      <c r="C9" s="28">
        <v>2.3820000000000001</v>
      </c>
      <c r="D9" s="1">
        <v>12.5</v>
      </c>
      <c r="E9" s="1">
        <v>1</v>
      </c>
      <c r="F9" s="1">
        <v>1</v>
      </c>
      <c r="G9" s="11">
        <v>2.6680000000000001</v>
      </c>
      <c r="H9" s="12">
        <v>1.4635</v>
      </c>
      <c r="I9" s="13">
        <v>2.6890000000000001</v>
      </c>
      <c r="J9" s="18">
        <f>+IF(G9=0,"",G9/(I9-H9))</f>
        <v>2.1770705834353326</v>
      </c>
      <c r="K9" s="18">
        <f t="shared" si="0"/>
        <v>8.6032500656871402</v>
      </c>
      <c r="L9" s="56">
        <v>4.8899999999999997</v>
      </c>
      <c r="M9" s="56">
        <v>5.6</v>
      </c>
      <c r="N9" s="1">
        <v>4.7</v>
      </c>
      <c r="O9" s="28">
        <v>2.2709999999999999</v>
      </c>
      <c r="P9" s="60">
        <v>15.5</v>
      </c>
      <c r="Q9" s="1">
        <v>70</v>
      </c>
      <c r="R9" s="60">
        <v>1.2</v>
      </c>
      <c r="S9" s="1">
        <v>90</v>
      </c>
      <c r="T9" s="1">
        <v>56</v>
      </c>
      <c r="U9" s="1">
        <v>39</v>
      </c>
      <c r="V9" s="36">
        <v>6</v>
      </c>
    </row>
    <row r="10" spans="1:22" x14ac:dyDescent="0.2">
      <c r="A10" s="1">
        <v>1</v>
      </c>
      <c r="B10" s="1" t="s">
        <v>35</v>
      </c>
      <c r="C10" s="28">
        <v>2.3820000000000001</v>
      </c>
      <c r="D10" s="1">
        <v>12.5</v>
      </c>
      <c r="E10" s="1">
        <v>1</v>
      </c>
      <c r="F10" s="1">
        <v>2</v>
      </c>
      <c r="G10" s="11">
        <v>2.7705000000000002</v>
      </c>
      <c r="H10" s="12">
        <v>1.5435000000000001</v>
      </c>
      <c r="I10" s="13">
        <v>2.8050000000000002</v>
      </c>
      <c r="J10" s="18">
        <f t="shared" ref="J10:J73" si="1">+IF(G10=0,"",G10/(I10-H10))</f>
        <v>2.1961950059453033</v>
      </c>
      <c r="K10" s="18">
        <f t="shared" si="0"/>
        <v>7.8003775841602341</v>
      </c>
      <c r="L10" s="56">
        <v>4.8899999999999997</v>
      </c>
      <c r="M10" s="56">
        <v>5.6</v>
      </c>
      <c r="N10" s="1">
        <v>4.7</v>
      </c>
      <c r="O10" s="28">
        <v>2.2709999999999999</v>
      </c>
      <c r="P10" s="60">
        <v>15.5</v>
      </c>
      <c r="Q10" s="1">
        <v>70</v>
      </c>
      <c r="R10" s="60">
        <v>1.2</v>
      </c>
      <c r="S10" s="1">
        <v>90</v>
      </c>
      <c r="T10" s="1">
        <v>56</v>
      </c>
      <c r="U10" s="1">
        <v>39</v>
      </c>
      <c r="V10" s="36">
        <v>6</v>
      </c>
    </row>
    <row r="11" spans="1:22" x14ac:dyDescent="0.2">
      <c r="A11" s="1">
        <v>1</v>
      </c>
      <c r="B11" s="1" t="s">
        <v>35</v>
      </c>
      <c r="C11" s="28">
        <v>2.3820000000000001</v>
      </c>
      <c r="D11" s="1">
        <v>12.5</v>
      </c>
      <c r="E11" s="1">
        <v>1</v>
      </c>
      <c r="F11" s="1">
        <v>3</v>
      </c>
      <c r="G11" s="11">
        <v>2.6949999999999998</v>
      </c>
      <c r="H11" s="12">
        <v>1.4744999999999999</v>
      </c>
      <c r="I11" s="13">
        <v>2.7189999999999999</v>
      </c>
      <c r="J11" s="18">
        <f t="shared" si="1"/>
        <v>2.1655283246283648</v>
      </c>
      <c r="K11" s="18">
        <f t="shared" si="0"/>
        <v>9.0878117284481696</v>
      </c>
      <c r="L11" s="56">
        <v>4.8899999999999997</v>
      </c>
      <c r="M11" s="56">
        <v>5.6</v>
      </c>
      <c r="N11" s="1">
        <v>4.7</v>
      </c>
      <c r="O11" s="28">
        <v>2.2709999999999999</v>
      </c>
      <c r="P11" s="60">
        <v>15.5</v>
      </c>
      <c r="Q11" s="1">
        <v>70</v>
      </c>
      <c r="R11" s="60">
        <v>1.2</v>
      </c>
      <c r="S11" s="1">
        <v>90</v>
      </c>
      <c r="T11" s="1">
        <v>56</v>
      </c>
      <c r="U11" s="1">
        <v>39</v>
      </c>
      <c r="V11" s="36">
        <v>6</v>
      </c>
    </row>
    <row r="12" spans="1:22" x14ac:dyDescent="0.2">
      <c r="A12" s="1">
        <v>1</v>
      </c>
      <c r="B12" s="1" t="s">
        <v>35</v>
      </c>
      <c r="C12" s="28">
        <v>2.3820000000000001</v>
      </c>
      <c r="D12" s="1">
        <v>12.5</v>
      </c>
      <c r="E12" s="5">
        <v>1</v>
      </c>
      <c r="F12" s="5">
        <v>4</v>
      </c>
      <c r="G12" s="14">
        <v>2.7149999999999999</v>
      </c>
      <c r="H12" s="9">
        <v>1.5049999999999999</v>
      </c>
      <c r="I12" s="15">
        <v>2.7494999999999998</v>
      </c>
      <c r="J12" s="19">
        <f t="shared" si="1"/>
        <v>2.1815990357573321</v>
      </c>
      <c r="K12" s="19">
        <f t="shared" si="0"/>
        <v>8.4131387171565102</v>
      </c>
      <c r="L12" s="58">
        <v>4.8899999999999997</v>
      </c>
      <c r="M12" s="58">
        <v>5.6</v>
      </c>
      <c r="N12" s="5">
        <v>4.7</v>
      </c>
      <c r="O12" s="53">
        <v>2.2709999999999999</v>
      </c>
      <c r="P12" s="62">
        <v>15.5</v>
      </c>
      <c r="Q12" s="5">
        <v>70</v>
      </c>
      <c r="R12" s="62">
        <v>1.2</v>
      </c>
      <c r="S12" s="5">
        <v>90</v>
      </c>
      <c r="T12" s="5">
        <v>56</v>
      </c>
      <c r="U12" s="5">
        <v>39</v>
      </c>
      <c r="V12" s="43">
        <v>6</v>
      </c>
    </row>
    <row r="13" spans="1:22" x14ac:dyDescent="0.2">
      <c r="A13" s="1">
        <v>1</v>
      </c>
      <c r="B13" s="1" t="s">
        <v>36</v>
      </c>
      <c r="C13" s="28">
        <v>2.3820000000000001</v>
      </c>
      <c r="D13" s="1">
        <v>12.5</v>
      </c>
      <c r="E13" s="26">
        <v>2</v>
      </c>
      <c r="F13" s="26">
        <v>0</v>
      </c>
      <c r="G13" s="21">
        <v>24.103000000000002</v>
      </c>
      <c r="H13" s="22">
        <v>13.3515</v>
      </c>
      <c r="I13" s="23">
        <v>24.518999999999998</v>
      </c>
      <c r="J13" s="24">
        <f t="shared" si="1"/>
        <v>2.158316543541527</v>
      </c>
      <c r="K13" s="24">
        <f t="shared" si="0"/>
        <v>9.3905733189955107</v>
      </c>
      <c r="L13" s="56">
        <v>4.8899999999999997</v>
      </c>
      <c r="M13" s="56">
        <v>5.6</v>
      </c>
      <c r="N13" s="1">
        <v>4.7</v>
      </c>
      <c r="O13" s="28">
        <v>2.2709999999999999</v>
      </c>
      <c r="P13" s="60">
        <v>15.5</v>
      </c>
      <c r="Q13" s="1">
        <v>70</v>
      </c>
      <c r="R13" s="60">
        <v>1.2</v>
      </c>
      <c r="S13" s="1">
        <v>90</v>
      </c>
      <c r="T13" s="1">
        <v>56</v>
      </c>
      <c r="U13" s="1">
        <v>39</v>
      </c>
      <c r="V13" s="36">
        <v>6</v>
      </c>
    </row>
    <row r="14" spans="1:22" x14ac:dyDescent="0.2">
      <c r="A14" s="1">
        <v>1</v>
      </c>
      <c r="B14" s="1" t="s">
        <v>36</v>
      </c>
      <c r="C14" s="28">
        <v>2.3820000000000001</v>
      </c>
      <c r="D14" s="1">
        <v>12.5</v>
      </c>
      <c r="E14" s="1">
        <v>2</v>
      </c>
      <c r="F14" s="1">
        <v>1</v>
      </c>
      <c r="G14" s="11">
        <v>2.597</v>
      </c>
      <c r="H14" s="12">
        <v>1.4219999999999999</v>
      </c>
      <c r="I14" s="13">
        <v>2.6154999999999999</v>
      </c>
      <c r="J14" s="18">
        <f t="shared" si="1"/>
        <v>2.1759530791788855</v>
      </c>
      <c r="K14" s="18">
        <f t="shared" si="0"/>
        <v>8.6501646020619045</v>
      </c>
      <c r="L14" s="56">
        <v>4.8899999999999997</v>
      </c>
      <c r="M14" s="56">
        <v>5.6</v>
      </c>
      <c r="N14" s="1">
        <v>4.7</v>
      </c>
      <c r="O14" s="28">
        <v>2.2709999999999999</v>
      </c>
      <c r="P14" s="60">
        <v>15.5</v>
      </c>
      <c r="Q14" s="1">
        <v>70</v>
      </c>
      <c r="R14" s="60">
        <v>1.2</v>
      </c>
      <c r="S14" s="1">
        <v>90</v>
      </c>
      <c r="T14" s="1">
        <v>56</v>
      </c>
      <c r="U14" s="1">
        <v>39</v>
      </c>
      <c r="V14" s="36">
        <v>6</v>
      </c>
    </row>
    <row r="15" spans="1:22" x14ac:dyDescent="0.2">
      <c r="A15" s="1">
        <v>1</v>
      </c>
      <c r="B15" s="1" t="s">
        <v>36</v>
      </c>
      <c r="C15" s="28">
        <v>2.3820000000000001</v>
      </c>
      <c r="D15" s="1">
        <v>12.5</v>
      </c>
      <c r="E15" s="1">
        <v>2</v>
      </c>
      <c r="F15" s="1">
        <v>2</v>
      </c>
      <c r="G15" s="11">
        <v>2.5665</v>
      </c>
      <c r="H15" s="12">
        <v>1.4245000000000001</v>
      </c>
      <c r="I15" s="13">
        <v>2.6</v>
      </c>
      <c r="J15" s="18">
        <f t="shared" si="1"/>
        <v>2.183326244151425</v>
      </c>
      <c r="K15" s="18">
        <f t="shared" si="0"/>
        <v>8.3406278693776255</v>
      </c>
      <c r="L15" s="56">
        <v>4.8899999999999997</v>
      </c>
      <c r="M15" s="56">
        <v>5.6</v>
      </c>
      <c r="N15" s="1">
        <v>4.7</v>
      </c>
      <c r="O15" s="28">
        <v>2.2709999999999999</v>
      </c>
      <c r="P15" s="60">
        <v>15.5</v>
      </c>
      <c r="Q15" s="1">
        <v>70</v>
      </c>
      <c r="R15" s="60">
        <v>1.2</v>
      </c>
      <c r="S15" s="1">
        <v>90</v>
      </c>
      <c r="T15" s="1">
        <v>56</v>
      </c>
      <c r="U15" s="1">
        <v>39</v>
      </c>
      <c r="V15" s="36">
        <v>6</v>
      </c>
    </row>
    <row r="16" spans="1:22" x14ac:dyDescent="0.2">
      <c r="A16" s="1">
        <v>1</v>
      </c>
      <c r="B16" s="1" t="s">
        <v>36</v>
      </c>
      <c r="C16" s="28">
        <v>2.3820000000000001</v>
      </c>
      <c r="D16" s="1">
        <v>12.5</v>
      </c>
      <c r="E16" s="1">
        <v>2</v>
      </c>
      <c r="F16" s="1">
        <v>3</v>
      </c>
      <c r="G16" s="11">
        <v>2.5870000000000002</v>
      </c>
      <c r="H16" s="12">
        <v>1.417</v>
      </c>
      <c r="I16" s="13">
        <v>2.609</v>
      </c>
      <c r="J16" s="18">
        <f t="shared" si="1"/>
        <v>2.1703020134228193</v>
      </c>
      <c r="K16" s="18">
        <f t="shared" si="0"/>
        <v>8.8874049780512507</v>
      </c>
      <c r="L16" s="56">
        <v>4.8899999999999997</v>
      </c>
      <c r="M16" s="56">
        <v>5.6</v>
      </c>
      <c r="N16" s="1">
        <v>4.7</v>
      </c>
      <c r="O16" s="28">
        <v>2.2709999999999999</v>
      </c>
      <c r="P16" s="60">
        <v>15.5</v>
      </c>
      <c r="Q16" s="1">
        <v>70</v>
      </c>
      <c r="R16" s="60">
        <v>1.2</v>
      </c>
      <c r="S16" s="1">
        <v>90</v>
      </c>
      <c r="T16" s="1">
        <v>56</v>
      </c>
      <c r="U16" s="1">
        <v>39</v>
      </c>
      <c r="V16" s="36">
        <v>6</v>
      </c>
    </row>
    <row r="17" spans="1:22" ht="16" thickBot="1" x14ac:dyDescent="0.25">
      <c r="A17" s="1">
        <v>1</v>
      </c>
      <c r="B17" s="1" t="s">
        <v>36</v>
      </c>
      <c r="C17" s="29">
        <v>2.3820000000000001</v>
      </c>
      <c r="D17" s="2">
        <v>12.5</v>
      </c>
      <c r="E17" s="2">
        <v>2</v>
      </c>
      <c r="F17" s="2">
        <v>4</v>
      </c>
      <c r="G17" s="16">
        <v>2.6349999999999998</v>
      </c>
      <c r="H17" s="10">
        <v>1.468</v>
      </c>
      <c r="I17" s="17">
        <v>2.6795</v>
      </c>
      <c r="J17" s="20">
        <f t="shared" si="1"/>
        <v>2.1749896822121335</v>
      </c>
      <c r="K17" s="20">
        <f t="shared" si="0"/>
        <v>8.6906094789196757</v>
      </c>
      <c r="L17" s="57">
        <v>4.8899999999999997</v>
      </c>
      <c r="M17" s="57">
        <v>5.6</v>
      </c>
      <c r="N17" s="2">
        <v>4.7</v>
      </c>
      <c r="O17" s="29">
        <v>2.2709999999999999</v>
      </c>
      <c r="P17" s="61">
        <v>15.5</v>
      </c>
      <c r="Q17" s="2">
        <v>70</v>
      </c>
      <c r="R17" s="61">
        <v>1.2</v>
      </c>
      <c r="S17" s="2">
        <v>90</v>
      </c>
      <c r="T17" s="2">
        <v>56</v>
      </c>
      <c r="U17" s="2">
        <v>39</v>
      </c>
      <c r="V17" s="4">
        <v>6</v>
      </c>
    </row>
    <row r="18" spans="1:22" x14ac:dyDescent="0.2">
      <c r="A18" s="1">
        <v>2</v>
      </c>
      <c r="B18" s="1" t="s">
        <v>37</v>
      </c>
      <c r="C18" s="28">
        <v>2.3969999999999998</v>
      </c>
      <c r="D18" s="1">
        <v>19</v>
      </c>
      <c r="E18" s="26">
        <v>1</v>
      </c>
      <c r="F18" s="26">
        <v>0</v>
      </c>
      <c r="G18" s="21">
        <v>22.401</v>
      </c>
      <c r="H18" s="22">
        <v>12.295</v>
      </c>
      <c r="I18" s="23">
        <v>22.889500000000002</v>
      </c>
      <c r="J18" s="24">
        <f t="shared" si="1"/>
        <v>2.1143989806031427</v>
      </c>
      <c r="K18" s="24">
        <f t="shared" si="0"/>
        <v>11.789779699493419</v>
      </c>
      <c r="L18" s="56">
        <v>4.6399999999999997</v>
      </c>
      <c r="M18" s="56">
        <v>5.6</v>
      </c>
      <c r="N18" s="1">
        <v>4.9000000000000004</v>
      </c>
      <c r="O18" s="28">
        <v>2.2799999999999998</v>
      </c>
      <c r="P18" s="60">
        <v>15.2</v>
      </c>
      <c r="Q18" s="1">
        <v>68</v>
      </c>
      <c r="R18" s="60">
        <v>1.1000000000000001</v>
      </c>
      <c r="S18" s="1">
        <v>87</v>
      </c>
      <c r="T18" s="1">
        <v>53</v>
      </c>
      <c r="U18" s="1">
        <v>37</v>
      </c>
      <c r="V18" s="36">
        <v>5</v>
      </c>
    </row>
    <row r="19" spans="1:22" x14ac:dyDescent="0.2">
      <c r="A19" s="1">
        <v>2</v>
      </c>
      <c r="B19" s="1" t="s">
        <v>37</v>
      </c>
      <c r="C19" s="28">
        <v>2.3969999999999998</v>
      </c>
      <c r="D19" s="1">
        <v>19</v>
      </c>
      <c r="E19" s="1">
        <v>1</v>
      </c>
      <c r="F19" s="1">
        <v>1</v>
      </c>
      <c r="G19" s="11">
        <v>2.6175000000000002</v>
      </c>
      <c r="H19" s="12">
        <v>1.45</v>
      </c>
      <c r="I19" s="13">
        <v>2.6720000000000002</v>
      </c>
      <c r="J19" s="18">
        <f t="shared" si="1"/>
        <v>2.1419803600654661</v>
      </c>
      <c r="K19" s="18">
        <f t="shared" si="0"/>
        <v>10.639117227139494</v>
      </c>
      <c r="L19" s="56">
        <v>4.6399999999999997</v>
      </c>
      <c r="M19" s="56">
        <v>5.6</v>
      </c>
      <c r="N19" s="1">
        <v>4.9000000000000004</v>
      </c>
      <c r="O19" s="28">
        <v>2.2799999999999998</v>
      </c>
      <c r="P19" s="60">
        <v>15.2</v>
      </c>
      <c r="Q19" s="1">
        <v>68</v>
      </c>
      <c r="R19" s="60">
        <v>1.1000000000000001</v>
      </c>
      <c r="S19" s="1">
        <v>87</v>
      </c>
      <c r="T19" s="1">
        <v>53</v>
      </c>
      <c r="U19" s="1">
        <v>37</v>
      </c>
      <c r="V19" s="36">
        <v>5</v>
      </c>
    </row>
    <row r="20" spans="1:22" x14ac:dyDescent="0.2">
      <c r="A20" s="1">
        <v>2</v>
      </c>
      <c r="B20" s="1" t="s">
        <v>37</v>
      </c>
      <c r="C20" s="28">
        <v>2.3969999999999998</v>
      </c>
      <c r="D20" s="1">
        <v>19</v>
      </c>
      <c r="E20" s="1">
        <v>1</v>
      </c>
      <c r="F20" s="1">
        <v>2</v>
      </c>
      <c r="G20" s="11">
        <v>2.5779999999999998</v>
      </c>
      <c r="H20" s="12">
        <v>1.42</v>
      </c>
      <c r="I20" s="13">
        <v>2.6459999999999999</v>
      </c>
      <c r="J20" s="18">
        <f t="shared" si="1"/>
        <v>2.102773246329527</v>
      </c>
      <c r="K20" s="18">
        <f t="shared" si="0"/>
        <v>12.274791559051845</v>
      </c>
      <c r="L20" s="56">
        <v>4.6399999999999997</v>
      </c>
      <c r="M20" s="56">
        <v>5.6</v>
      </c>
      <c r="N20" s="1">
        <v>4.9000000000000004</v>
      </c>
      <c r="O20" s="28">
        <v>2.2799999999999998</v>
      </c>
      <c r="P20" s="60">
        <v>15.2</v>
      </c>
      <c r="Q20" s="1">
        <v>68</v>
      </c>
      <c r="R20" s="60">
        <v>1.1000000000000001</v>
      </c>
      <c r="S20" s="1">
        <v>87</v>
      </c>
      <c r="T20" s="1">
        <v>53</v>
      </c>
      <c r="U20" s="1">
        <v>37</v>
      </c>
      <c r="V20" s="36">
        <v>5</v>
      </c>
    </row>
    <row r="21" spans="1:22" x14ac:dyDescent="0.2">
      <c r="A21" s="1">
        <v>2</v>
      </c>
      <c r="B21" s="1" t="s">
        <v>37</v>
      </c>
      <c r="C21" s="28">
        <v>2.3969999999999998</v>
      </c>
      <c r="D21" s="1">
        <v>19</v>
      </c>
      <c r="E21" s="1">
        <v>1</v>
      </c>
      <c r="F21" s="1">
        <v>3</v>
      </c>
      <c r="G21" s="11">
        <v>2.5390000000000001</v>
      </c>
      <c r="H21" s="12">
        <v>1.3794999999999999</v>
      </c>
      <c r="I21" s="13">
        <v>2.5819999999999999</v>
      </c>
      <c r="J21" s="18">
        <f t="shared" si="1"/>
        <v>2.1114345114345117</v>
      </c>
      <c r="K21" s="18">
        <f t="shared" si="0"/>
        <v>11.913453840863086</v>
      </c>
      <c r="L21" s="56">
        <v>4.6399999999999997</v>
      </c>
      <c r="M21" s="56">
        <v>5.6</v>
      </c>
      <c r="N21" s="1">
        <v>4.9000000000000004</v>
      </c>
      <c r="O21" s="28">
        <v>2.2799999999999998</v>
      </c>
      <c r="P21" s="60">
        <v>15.2</v>
      </c>
      <c r="Q21" s="1">
        <v>68</v>
      </c>
      <c r="R21" s="60">
        <v>1.1000000000000001</v>
      </c>
      <c r="S21" s="1">
        <v>87</v>
      </c>
      <c r="T21" s="1">
        <v>53</v>
      </c>
      <c r="U21" s="1">
        <v>37</v>
      </c>
      <c r="V21" s="36">
        <v>5</v>
      </c>
    </row>
    <row r="22" spans="1:22" x14ac:dyDescent="0.2">
      <c r="A22" s="1">
        <v>2</v>
      </c>
      <c r="B22" s="1" t="s">
        <v>37</v>
      </c>
      <c r="C22" s="28">
        <v>2.3969999999999998</v>
      </c>
      <c r="D22" s="1">
        <v>19</v>
      </c>
      <c r="E22" s="5">
        <v>1</v>
      </c>
      <c r="F22" s="5">
        <v>4</v>
      </c>
      <c r="G22" s="14">
        <v>2.5270000000000001</v>
      </c>
      <c r="H22" s="9">
        <v>1.363</v>
      </c>
      <c r="I22" s="15">
        <v>2.5659999999999998</v>
      </c>
      <c r="J22" s="19">
        <f t="shared" si="1"/>
        <v>2.1005818786367421</v>
      </c>
      <c r="K22" s="19">
        <f t="shared" si="0"/>
        <v>12.366212822830946</v>
      </c>
      <c r="L22" s="58">
        <v>4.6399999999999997</v>
      </c>
      <c r="M22" s="58">
        <v>5.6</v>
      </c>
      <c r="N22" s="5">
        <v>4.9000000000000004</v>
      </c>
      <c r="O22" s="53">
        <v>2.2799999999999998</v>
      </c>
      <c r="P22" s="62">
        <v>15.2</v>
      </c>
      <c r="Q22" s="5">
        <v>68</v>
      </c>
      <c r="R22" s="62">
        <v>1.1000000000000001</v>
      </c>
      <c r="S22" s="5">
        <v>87</v>
      </c>
      <c r="T22" s="5">
        <v>53</v>
      </c>
      <c r="U22" s="5">
        <v>37</v>
      </c>
      <c r="V22" s="43">
        <v>5</v>
      </c>
    </row>
    <row r="23" spans="1:22" x14ac:dyDescent="0.2">
      <c r="A23" s="1">
        <v>2</v>
      </c>
      <c r="B23" s="1" t="s">
        <v>38</v>
      </c>
      <c r="C23" s="28">
        <v>2.3969999999999998</v>
      </c>
      <c r="D23" s="1">
        <v>19</v>
      </c>
      <c r="E23" s="26">
        <v>2</v>
      </c>
      <c r="F23" s="26">
        <v>0</v>
      </c>
      <c r="G23" s="21">
        <v>24.121500000000001</v>
      </c>
      <c r="H23" s="22">
        <v>13.327</v>
      </c>
      <c r="I23" s="23">
        <v>24.408000000000001</v>
      </c>
      <c r="J23" s="24">
        <f t="shared" si="1"/>
        <v>2.1768342207382005</v>
      </c>
      <c r="K23" s="24">
        <f t="shared" si="0"/>
        <v>9.1850554552273422</v>
      </c>
      <c r="L23" s="56">
        <v>4.6399999999999997</v>
      </c>
      <c r="M23" s="56">
        <v>5.6</v>
      </c>
      <c r="N23" s="1">
        <v>4.9000000000000004</v>
      </c>
      <c r="O23" s="28">
        <v>2.2799999999999998</v>
      </c>
      <c r="P23" s="60">
        <v>15.2</v>
      </c>
      <c r="Q23" s="1">
        <v>68</v>
      </c>
      <c r="R23" s="60">
        <v>1.1000000000000001</v>
      </c>
      <c r="S23" s="1">
        <v>87</v>
      </c>
      <c r="T23" s="1">
        <v>53</v>
      </c>
      <c r="U23" s="1">
        <v>37</v>
      </c>
      <c r="V23" s="36">
        <v>5</v>
      </c>
    </row>
    <row r="24" spans="1:22" x14ac:dyDescent="0.2">
      <c r="A24" s="1">
        <v>2</v>
      </c>
      <c r="B24" s="1" t="s">
        <v>38</v>
      </c>
      <c r="C24" s="28">
        <v>2.3969999999999998</v>
      </c>
      <c r="D24" s="1">
        <v>19</v>
      </c>
      <c r="E24" s="1">
        <v>2</v>
      </c>
      <c r="F24" s="1">
        <v>1</v>
      </c>
      <c r="G24" s="11">
        <v>2.6739999999999999</v>
      </c>
      <c r="H24" s="12">
        <v>1.4970000000000001</v>
      </c>
      <c r="I24" s="13">
        <v>2.7054999999999998</v>
      </c>
      <c r="J24" s="18">
        <f t="shared" si="1"/>
        <v>2.2126603227141088</v>
      </c>
      <c r="K24" s="18">
        <f t="shared" si="0"/>
        <v>7.6904329280722106</v>
      </c>
      <c r="L24" s="56">
        <v>4.6399999999999997</v>
      </c>
      <c r="M24" s="56">
        <v>5.6</v>
      </c>
      <c r="N24" s="1">
        <v>4.9000000000000004</v>
      </c>
      <c r="O24" s="28">
        <v>2.2799999999999998</v>
      </c>
      <c r="P24" s="60">
        <v>15.2</v>
      </c>
      <c r="Q24" s="1">
        <v>68</v>
      </c>
      <c r="R24" s="60">
        <v>1.1000000000000001</v>
      </c>
      <c r="S24" s="1">
        <v>87</v>
      </c>
      <c r="T24" s="1">
        <v>53</v>
      </c>
      <c r="U24" s="1">
        <v>37</v>
      </c>
      <c r="V24" s="36">
        <v>5</v>
      </c>
    </row>
    <row r="25" spans="1:22" x14ac:dyDescent="0.2">
      <c r="A25" s="1">
        <v>2</v>
      </c>
      <c r="B25" s="1" t="s">
        <v>38</v>
      </c>
      <c r="C25" s="28">
        <v>2.3969999999999998</v>
      </c>
      <c r="D25" s="1">
        <v>19</v>
      </c>
      <c r="E25" s="1">
        <v>2</v>
      </c>
      <c r="F25" s="1">
        <v>2</v>
      </c>
      <c r="G25" s="11">
        <v>2.6415000000000002</v>
      </c>
      <c r="H25" s="12">
        <v>1.4655</v>
      </c>
      <c r="I25" s="13">
        <v>2.6549999999999998</v>
      </c>
      <c r="J25" s="18">
        <f t="shared" si="1"/>
        <v>2.2206809583858771</v>
      </c>
      <c r="K25" s="18">
        <f t="shared" si="0"/>
        <v>7.3558215108102898</v>
      </c>
      <c r="L25" s="56">
        <v>4.6399999999999997</v>
      </c>
      <c r="M25" s="56">
        <v>5.6</v>
      </c>
      <c r="N25" s="1">
        <v>4.9000000000000004</v>
      </c>
      <c r="O25" s="28">
        <v>2.2799999999999998</v>
      </c>
      <c r="P25" s="60">
        <v>15.2</v>
      </c>
      <c r="Q25" s="1">
        <v>68</v>
      </c>
      <c r="R25" s="60">
        <v>1.1000000000000001</v>
      </c>
      <c r="S25" s="1">
        <v>87</v>
      </c>
      <c r="T25" s="1">
        <v>53</v>
      </c>
      <c r="U25" s="1">
        <v>37</v>
      </c>
      <c r="V25" s="36">
        <v>5</v>
      </c>
    </row>
    <row r="26" spans="1:22" x14ac:dyDescent="0.2">
      <c r="A26" s="1">
        <v>2</v>
      </c>
      <c r="B26" s="1" t="s">
        <v>38</v>
      </c>
      <c r="C26" s="28">
        <v>2.3969999999999998</v>
      </c>
      <c r="D26" s="1">
        <v>19</v>
      </c>
      <c r="E26" s="1">
        <v>2</v>
      </c>
      <c r="F26" s="1">
        <v>3</v>
      </c>
      <c r="G26" s="11">
        <v>2.6564999999999999</v>
      </c>
      <c r="H26" s="12">
        <v>1.484</v>
      </c>
      <c r="I26" s="13">
        <v>2.6779999999999999</v>
      </c>
      <c r="J26" s="18">
        <f t="shared" si="1"/>
        <v>2.2248743718592965</v>
      </c>
      <c r="K26" s="18">
        <f t="shared" si="0"/>
        <v>7.1808772691157046</v>
      </c>
      <c r="L26" s="56">
        <v>4.6399999999999997</v>
      </c>
      <c r="M26" s="56">
        <v>5.6</v>
      </c>
      <c r="N26" s="1">
        <v>4.9000000000000004</v>
      </c>
      <c r="O26" s="28">
        <v>2.2799999999999998</v>
      </c>
      <c r="P26" s="60">
        <v>15.2</v>
      </c>
      <c r="Q26" s="1">
        <v>68</v>
      </c>
      <c r="R26" s="60">
        <v>1.1000000000000001</v>
      </c>
      <c r="S26" s="1">
        <v>87</v>
      </c>
      <c r="T26" s="1">
        <v>53</v>
      </c>
      <c r="U26" s="1">
        <v>37</v>
      </c>
      <c r="V26" s="36">
        <v>5</v>
      </c>
    </row>
    <row r="27" spans="1:22" ht="16" thickBot="1" x14ac:dyDescent="0.25">
      <c r="A27" s="1">
        <v>2</v>
      </c>
      <c r="B27" s="1" t="s">
        <v>38</v>
      </c>
      <c r="C27" s="29">
        <v>2.3969999999999998</v>
      </c>
      <c r="D27" s="2">
        <v>19</v>
      </c>
      <c r="E27" s="2">
        <v>2</v>
      </c>
      <c r="F27" s="2">
        <v>4</v>
      </c>
      <c r="G27" s="16">
        <v>2.6145</v>
      </c>
      <c r="H27" s="10">
        <v>1.4535</v>
      </c>
      <c r="I27" s="17">
        <v>2.6305000000000001</v>
      </c>
      <c r="J27" s="20">
        <f t="shared" si="1"/>
        <v>2.221325403568394</v>
      </c>
      <c r="K27" s="20">
        <f t="shared" si="0"/>
        <v>7.3289360213435906</v>
      </c>
      <c r="L27" s="57">
        <v>4.6399999999999997</v>
      </c>
      <c r="M27" s="57">
        <v>5.6</v>
      </c>
      <c r="N27" s="2">
        <v>4.9000000000000004</v>
      </c>
      <c r="O27" s="29">
        <v>2.2799999999999998</v>
      </c>
      <c r="P27" s="61">
        <v>15.2</v>
      </c>
      <c r="Q27" s="2">
        <v>68</v>
      </c>
      <c r="R27" s="61">
        <v>1.1000000000000001</v>
      </c>
      <c r="S27" s="2">
        <v>87</v>
      </c>
      <c r="T27" s="2">
        <v>53</v>
      </c>
      <c r="U27" s="2">
        <v>37</v>
      </c>
      <c r="V27" s="4">
        <v>5</v>
      </c>
    </row>
    <row r="28" spans="1:22" x14ac:dyDescent="0.2">
      <c r="A28" s="1">
        <v>3</v>
      </c>
      <c r="B28" s="1" t="s">
        <v>39</v>
      </c>
      <c r="C28" s="28">
        <v>2.3780000000000001</v>
      </c>
      <c r="D28" s="1">
        <v>12.5</v>
      </c>
      <c r="E28" s="26">
        <v>1</v>
      </c>
      <c r="F28" s="26">
        <v>0</v>
      </c>
      <c r="G28" s="21">
        <v>24.1035</v>
      </c>
      <c r="H28" s="22">
        <v>13.2965</v>
      </c>
      <c r="I28" s="23">
        <v>24.3095</v>
      </c>
      <c r="J28" s="24">
        <f t="shared" si="1"/>
        <v>2.1886406973576684</v>
      </c>
      <c r="K28" s="24">
        <f t="shared" si="0"/>
        <v>7.9629647873141973</v>
      </c>
      <c r="L28" s="59">
        <v>4.99</v>
      </c>
      <c r="M28" s="59">
        <v>5.6</v>
      </c>
      <c r="N28" s="30">
        <v>4.4000000000000004</v>
      </c>
      <c r="O28" s="31">
        <v>2.2730000000000001</v>
      </c>
      <c r="P28" s="63">
        <v>15.5</v>
      </c>
      <c r="Q28" s="30">
        <v>72</v>
      </c>
      <c r="R28" s="63">
        <v>1.1000000000000001</v>
      </c>
      <c r="S28" s="30">
        <v>92</v>
      </c>
      <c r="T28" s="30">
        <v>55</v>
      </c>
      <c r="U28" s="30">
        <v>38</v>
      </c>
      <c r="V28" s="35">
        <v>5.6</v>
      </c>
    </row>
    <row r="29" spans="1:22" x14ac:dyDescent="0.2">
      <c r="A29" s="1">
        <v>3</v>
      </c>
      <c r="B29" s="1" t="s">
        <v>39</v>
      </c>
      <c r="C29" s="28">
        <v>2.3780000000000001</v>
      </c>
      <c r="D29" s="1">
        <v>12.5</v>
      </c>
      <c r="E29" s="1">
        <v>1</v>
      </c>
      <c r="F29" s="1">
        <v>1</v>
      </c>
      <c r="G29" s="11">
        <v>2.6404999999999998</v>
      </c>
      <c r="H29" s="12">
        <v>1.4524999999999999</v>
      </c>
      <c r="I29" s="13">
        <v>2.6520000000000001</v>
      </c>
      <c r="J29" s="18">
        <f t="shared" si="1"/>
        <v>2.2013338891204661</v>
      </c>
      <c r="K29" s="18">
        <f t="shared" si="0"/>
        <v>7.4291888511158088</v>
      </c>
      <c r="L29" s="56">
        <v>4.99</v>
      </c>
      <c r="M29" s="56">
        <v>5.6</v>
      </c>
      <c r="N29" s="1">
        <v>4.4000000000000004</v>
      </c>
      <c r="O29" s="28">
        <v>2.2730000000000001</v>
      </c>
      <c r="P29" s="60">
        <v>15.5</v>
      </c>
      <c r="Q29" s="1">
        <v>72</v>
      </c>
      <c r="R29" s="60">
        <v>1.1000000000000001</v>
      </c>
      <c r="S29" s="1">
        <v>92</v>
      </c>
      <c r="T29" s="1">
        <v>55</v>
      </c>
      <c r="U29" s="1">
        <v>38</v>
      </c>
      <c r="V29" s="36">
        <v>5.6</v>
      </c>
    </row>
    <row r="30" spans="1:22" x14ac:dyDescent="0.2">
      <c r="A30" s="1">
        <v>3</v>
      </c>
      <c r="B30" s="1" t="s">
        <v>39</v>
      </c>
      <c r="C30" s="28">
        <v>2.3780000000000001</v>
      </c>
      <c r="D30" s="1">
        <v>12.5</v>
      </c>
      <c r="E30" s="1">
        <v>1</v>
      </c>
      <c r="F30" s="1">
        <v>2</v>
      </c>
      <c r="G30" s="11">
        <v>2.7294999999999998</v>
      </c>
      <c r="H30" s="12">
        <v>1.512</v>
      </c>
      <c r="I30" s="13">
        <v>2.7534999999999998</v>
      </c>
      <c r="J30" s="18">
        <f t="shared" si="1"/>
        <v>2.1985501409585182</v>
      </c>
      <c r="K30" s="18">
        <f t="shared" si="0"/>
        <v>7.5462514315173257</v>
      </c>
      <c r="L30" s="56">
        <v>4.99</v>
      </c>
      <c r="M30" s="56">
        <v>5.6</v>
      </c>
      <c r="N30" s="1">
        <v>4.4000000000000004</v>
      </c>
      <c r="O30" s="28">
        <v>2.2730000000000001</v>
      </c>
      <c r="P30" s="60">
        <v>15.5</v>
      </c>
      <c r="Q30" s="1">
        <v>72</v>
      </c>
      <c r="R30" s="60">
        <v>1.1000000000000001</v>
      </c>
      <c r="S30" s="1">
        <v>92</v>
      </c>
      <c r="T30" s="1">
        <v>55</v>
      </c>
      <c r="U30" s="1">
        <v>38</v>
      </c>
      <c r="V30" s="36">
        <v>5.6</v>
      </c>
    </row>
    <row r="31" spans="1:22" x14ac:dyDescent="0.2">
      <c r="A31" s="1">
        <v>3</v>
      </c>
      <c r="B31" s="1" t="s">
        <v>39</v>
      </c>
      <c r="C31" s="28">
        <v>2.3780000000000001</v>
      </c>
      <c r="D31" s="1">
        <v>12.5</v>
      </c>
      <c r="E31" s="1">
        <v>1</v>
      </c>
      <c r="F31" s="1">
        <v>3</v>
      </c>
      <c r="G31" s="11">
        <v>2.7389999999999999</v>
      </c>
      <c r="H31" s="12">
        <v>1.5089999999999999</v>
      </c>
      <c r="I31" s="13">
        <v>2.7549999999999999</v>
      </c>
      <c r="J31" s="18">
        <f t="shared" si="1"/>
        <v>2.1982343499197432</v>
      </c>
      <c r="K31" s="18">
        <f t="shared" si="0"/>
        <v>7.559531121962026</v>
      </c>
      <c r="L31" s="56">
        <v>4.99</v>
      </c>
      <c r="M31" s="56">
        <v>5.6</v>
      </c>
      <c r="N31" s="1">
        <v>4.4000000000000004</v>
      </c>
      <c r="O31" s="28">
        <v>2.2730000000000001</v>
      </c>
      <c r="P31" s="60">
        <v>15.5</v>
      </c>
      <c r="Q31" s="1">
        <v>72</v>
      </c>
      <c r="R31" s="60">
        <v>1.1000000000000001</v>
      </c>
      <c r="S31" s="1">
        <v>92</v>
      </c>
      <c r="T31" s="1">
        <v>55</v>
      </c>
      <c r="U31" s="1">
        <v>38</v>
      </c>
      <c r="V31" s="36">
        <v>5.6</v>
      </c>
    </row>
    <row r="32" spans="1:22" x14ac:dyDescent="0.2">
      <c r="A32" s="1">
        <v>3</v>
      </c>
      <c r="B32" s="1" t="s">
        <v>39</v>
      </c>
      <c r="C32" s="28">
        <v>2.3780000000000001</v>
      </c>
      <c r="D32" s="1">
        <v>12.5</v>
      </c>
      <c r="E32" s="5">
        <v>1</v>
      </c>
      <c r="F32" s="5">
        <v>4</v>
      </c>
      <c r="G32" s="14">
        <v>2.7614999999999998</v>
      </c>
      <c r="H32" s="9">
        <v>1.54</v>
      </c>
      <c r="I32" s="15">
        <v>2.7915000000000001</v>
      </c>
      <c r="J32" s="19">
        <f t="shared" si="1"/>
        <v>2.2065521374350778</v>
      </c>
      <c r="K32" s="19">
        <f t="shared" si="0"/>
        <v>7.2097503181212108</v>
      </c>
      <c r="L32" s="58">
        <v>4.99</v>
      </c>
      <c r="M32" s="58">
        <v>5.6</v>
      </c>
      <c r="N32" s="5">
        <v>4.4000000000000004</v>
      </c>
      <c r="O32" s="53">
        <v>2.2730000000000001</v>
      </c>
      <c r="P32" s="62">
        <v>15.5</v>
      </c>
      <c r="Q32" s="5">
        <v>72</v>
      </c>
      <c r="R32" s="62">
        <v>1.1000000000000001</v>
      </c>
      <c r="S32" s="5">
        <v>92</v>
      </c>
      <c r="T32" s="5">
        <v>55</v>
      </c>
      <c r="U32" s="5">
        <v>38</v>
      </c>
      <c r="V32" s="43">
        <v>5.6</v>
      </c>
    </row>
    <row r="33" spans="1:22" x14ac:dyDescent="0.2">
      <c r="A33" s="1">
        <v>3</v>
      </c>
      <c r="B33" s="1" t="s">
        <v>40</v>
      </c>
      <c r="C33" s="28">
        <v>2.3780000000000001</v>
      </c>
      <c r="D33" s="1">
        <v>12.5</v>
      </c>
      <c r="E33" s="26">
        <v>2</v>
      </c>
      <c r="F33" s="26">
        <v>0</v>
      </c>
      <c r="G33" s="21">
        <v>24.176500000000001</v>
      </c>
      <c r="H33" s="22">
        <v>13.2905</v>
      </c>
      <c r="I33" s="23">
        <v>24.307500000000001</v>
      </c>
      <c r="J33" s="24">
        <f t="shared" si="1"/>
        <v>2.1944721793591722</v>
      </c>
      <c r="K33" s="24">
        <f t="shared" si="0"/>
        <v>7.7177384626084038</v>
      </c>
      <c r="L33" s="56">
        <v>4.99</v>
      </c>
      <c r="M33" s="56">
        <v>5.6</v>
      </c>
      <c r="N33" s="1">
        <v>4.4000000000000004</v>
      </c>
      <c r="O33" s="28">
        <v>2.2730000000000001</v>
      </c>
      <c r="P33" s="60">
        <v>15.5</v>
      </c>
      <c r="Q33" s="1">
        <v>72</v>
      </c>
      <c r="R33" s="60">
        <v>1.1000000000000001</v>
      </c>
      <c r="S33" s="1">
        <v>92</v>
      </c>
      <c r="T33" s="1">
        <v>55</v>
      </c>
      <c r="U33" s="1">
        <v>38</v>
      </c>
      <c r="V33" s="36">
        <v>5.6</v>
      </c>
    </row>
    <row r="34" spans="1:22" x14ac:dyDescent="0.2">
      <c r="A34" s="1">
        <v>3</v>
      </c>
      <c r="B34" s="1" t="s">
        <v>40</v>
      </c>
      <c r="C34" s="28">
        <v>2.3780000000000001</v>
      </c>
      <c r="D34" s="1">
        <v>12.5</v>
      </c>
      <c r="E34" s="1">
        <v>2</v>
      </c>
      <c r="F34" s="1">
        <v>1</v>
      </c>
      <c r="G34" s="11">
        <v>2.7305000000000001</v>
      </c>
      <c r="H34" s="12">
        <v>1.5125</v>
      </c>
      <c r="I34" s="13">
        <v>2.7534999999999998</v>
      </c>
      <c r="J34" s="18">
        <f t="shared" si="1"/>
        <v>2.2002417405318293</v>
      </c>
      <c r="K34" s="18">
        <f t="shared" si="0"/>
        <v>7.4751160415546973</v>
      </c>
      <c r="L34" s="56">
        <v>4.99</v>
      </c>
      <c r="M34" s="56">
        <v>5.6</v>
      </c>
      <c r="N34" s="1">
        <v>4.4000000000000004</v>
      </c>
      <c r="O34" s="28">
        <v>2.2730000000000001</v>
      </c>
      <c r="P34" s="60">
        <v>15.5</v>
      </c>
      <c r="Q34" s="1">
        <v>72</v>
      </c>
      <c r="R34" s="60">
        <v>1.1000000000000001</v>
      </c>
      <c r="S34" s="1">
        <v>92</v>
      </c>
      <c r="T34" s="1">
        <v>55</v>
      </c>
      <c r="U34" s="1">
        <v>38</v>
      </c>
      <c r="V34" s="36">
        <v>5.6</v>
      </c>
    </row>
    <row r="35" spans="1:22" x14ac:dyDescent="0.2">
      <c r="A35" s="1">
        <v>3</v>
      </c>
      <c r="B35" s="1" t="s">
        <v>40</v>
      </c>
      <c r="C35" s="28">
        <v>2.3780000000000001</v>
      </c>
      <c r="D35" s="1">
        <v>12.5</v>
      </c>
      <c r="E35" s="1">
        <v>2</v>
      </c>
      <c r="F35" s="1">
        <v>2</v>
      </c>
      <c r="G35" s="11">
        <v>2.7349999999999999</v>
      </c>
      <c r="H35" s="12">
        <v>1.4975000000000001</v>
      </c>
      <c r="I35" s="13">
        <v>2.7450000000000001</v>
      </c>
      <c r="J35" s="18">
        <f t="shared" si="1"/>
        <v>2.1923847695390779</v>
      </c>
      <c r="K35" s="18">
        <f t="shared" si="0"/>
        <v>7.8055185223264161</v>
      </c>
      <c r="L35" s="56">
        <v>4.99</v>
      </c>
      <c r="M35" s="56">
        <v>5.6</v>
      </c>
      <c r="N35" s="1">
        <v>4.4000000000000004</v>
      </c>
      <c r="O35" s="28">
        <v>2.2730000000000001</v>
      </c>
      <c r="P35" s="60">
        <v>15.5</v>
      </c>
      <c r="Q35" s="1">
        <v>72</v>
      </c>
      <c r="R35" s="60">
        <v>1.1000000000000001</v>
      </c>
      <c r="S35" s="1">
        <v>92</v>
      </c>
      <c r="T35" s="1">
        <v>55</v>
      </c>
      <c r="U35" s="1">
        <v>38</v>
      </c>
      <c r="V35" s="36">
        <v>5.6</v>
      </c>
    </row>
    <row r="36" spans="1:22" x14ac:dyDescent="0.2">
      <c r="A36" s="1">
        <v>3</v>
      </c>
      <c r="B36" s="1" t="s">
        <v>40</v>
      </c>
      <c r="C36" s="28">
        <v>2.3780000000000001</v>
      </c>
      <c r="D36" s="1">
        <v>12.5</v>
      </c>
      <c r="E36" s="1">
        <v>2</v>
      </c>
      <c r="F36" s="1">
        <v>3</v>
      </c>
      <c r="G36" s="11">
        <v>2.7214999999999998</v>
      </c>
      <c r="H36" s="12">
        <v>1.5115000000000001</v>
      </c>
      <c r="I36" s="13">
        <v>2.7450000000000001</v>
      </c>
      <c r="J36" s="18">
        <f t="shared" si="1"/>
        <v>2.2063234698013781</v>
      </c>
      <c r="K36" s="18">
        <f t="shared" si="0"/>
        <v>7.2193662825324694</v>
      </c>
      <c r="L36" s="56">
        <v>4.99</v>
      </c>
      <c r="M36" s="56">
        <v>5.6</v>
      </c>
      <c r="N36" s="1">
        <v>4.4000000000000004</v>
      </c>
      <c r="O36" s="28">
        <v>2.2730000000000001</v>
      </c>
      <c r="P36" s="60">
        <v>15.5</v>
      </c>
      <c r="Q36" s="1">
        <v>72</v>
      </c>
      <c r="R36" s="60">
        <v>1.1000000000000001</v>
      </c>
      <c r="S36" s="1">
        <v>92</v>
      </c>
      <c r="T36" s="1">
        <v>55</v>
      </c>
      <c r="U36" s="1">
        <v>38</v>
      </c>
      <c r="V36" s="36">
        <v>5.6</v>
      </c>
    </row>
    <row r="37" spans="1:22" ht="16" thickBot="1" x14ac:dyDescent="0.25">
      <c r="A37" s="1">
        <v>3</v>
      </c>
      <c r="B37" s="1" t="s">
        <v>40</v>
      </c>
      <c r="C37" s="29">
        <v>2.3780000000000001</v>
      </c>
      <c r="D37" s="2">
        <v>12.5</v>
      </c>
      <c r="E37" s="2">
        <v>2</v>
      </c>
      <c r="F37" s="2">
        <v>4</v>
      </c>
      <c r="G37" s="16">
        <v>2.758</v>
      </c>
      <c r="H37" s="10">
        <v>1.5205</v>
      </c>
      <c r="I37" s="17">
        <v>2.7745000000000002</v>
      </c>
      <c r="J37" s="20">
        <f t="shared" si="1"/>
        <v>2.1993620414673041</v>
      </c>
      <c r="K37" s="20">
        <f t="shared" si="0"/>
        <v>7.5121092738728361</v>
      </c>
      <c r="L37" s="57">
        <v>4.99</v>
      </c>
      <c r="M37" s="57">
        <v>5.6</v>
      </c>
      <c r="N37" s="2">
        <v>4.4000000000000004</v>
      </c>
      <c r="O37" s="29">
        <v>2.2730000000000001</v>
      </c>
      <c r="P37" s="61">
        <v>15.5</v>
      </c>
      <c r="Q37" s="2">
        <v>72</v>
      </c>
      <c r="R37" s="61">
        <v>1.1000000000000001</v>
      </c>
      <c r="S37" s="2">
        <v>92</v>
      </c>
      <c r="T37" s="2">
        <v>55</v>
      </c>
      <c r="U37" s="2">
        <v>38</v>
      </c>
      <c r="V37" s="4">
        <v>5.6</v>
      </c>
    </row>
    <row r="38" spans="1:22" x14ac:dyDescent="0.2">
      <c r="A38" s="1">
        <v>4</v>
      </c>
      <c r="B38" s="1" t="s">
        <v>41</v>
      </c>
      <c r="C38" s="28">
        <v>2.383</v>
      </c>
      <c r="D38" s="1">
        <v>19</v>
      </c>
      <c r="E38" s="26">
        <v>1</v>
      </c>
      <c r="F38" s="26">
        <v>0</v>
      </c>
      <c r="G38" s="21">
        <v>24.217500000000001</v>
      </c>
      <c r="H38" s="22">
        <v>13.4785</v>
      </c>
      <c r="I38" s="23">
        <v>24.469000000000001</v>
      </c>
      <c r="J38" s="24">
        <f t="shared" si="1"/>
        <v>2.2034939265729494</v>
      </c>
      <c r="K38" s="24">
        <f t="shared" si="0"/>
        <v>7.5327768958057373</v>
      </c>
      <c r="L38" s="56">
        <v>4.9400000000000004</v>
      </c>
      <c r="M38" s="56">
        <v>5.68</v>
      </c>
      <c r="N38" s="1">
        <v>3.9</v>
      </c>
      <c r="O38" s="28">
        <v>2.2909999999999999</v>
      </c>
      <c r="P38" s="60">
        <v>14.9</v>
      </c>
      <c r="Q38" s="1">
        <v>74</v>
      </c>
      <c r="R38" s="60">
        <v>1</v>
      </c>
      <c r="S38" s="1">
        <v>83</v>
      </c>
      <c r="T38" s="1">
        <v>47</v>
      </c>
      <c r="U38" s="1">
        <v>34</v>
      </c>
      <c r="V38" s="36">
        <v>5</v>
      </c>
    </row>
    <row r="39" spans="1:22" x14ac:dyDescent="0.2">
      <c r="A39" s="1">
        <v>4</v>
      </c>
      <c r="B39" s="1" t="s">
        <v>41</v>
      </c>
      <c r="C39" s="28">
        <v>2.383</v>
      </c>
      <c r="D39" s="1">
        <v>19</v>
      </c>
      <c r="E39" s="1">
        <v>1</v>
      </c>
      <c r="F39" s="1">
        <v>1</v>
      </c>
      <c r="G39" s="11">
        <v>2.7865000000000002</v>
      </c>
      <c r="H39" s="12">
        <v>1.5549999999999999</v>
      </c>
      <c r="I39" s="13">
        <v>2.7989999999999999</v>
      </c>
      <c r="J39" s="18">
        <f t="shared" si="1"/>
        <v>2.239951768488746</v>
      </c>
      <c r="K39" s="18">
        <f t="shared" si="0"/>
        <v>6.002863261068148</v>
      </c>
      <c r="L39" s="56">
        <v>4.9400000000000004</v>
      </c>
      <c r="M39" s="56">
        <v>5.68</v>
      </c>
      <c r="N39" s="1">
        <v>3.9</v>
      </c>
      <c r="O39" s="28">
        <v>2.2909999999999999</v>
      </c>
      <c r="P39" s="60">
        <v>14.9</v>
      </c>
      <c r="Q39" s="1">
        <v>74</v>
      </c>
      <c r="R39" s="60">
        <v>1</v>
      </c>
      <c r="S39" s="1">
        <v>83</v>
      </c>
      <c r="T39" s="1">
        <v>47</v>
      </c>
      <c r="U39" s="1">
        <v>34</v>
      </c>
      <c r="V39" s="36">
        <v>5</v>
      </c>
    </row>
    <row r="40" spans="1:22" x14ac:dyDescent="0.2">
      <c r="A40" s="1">
        <v>4</v>
      </c>
      <c r="B40" s="1" t="s">
        <v>41</v>
      </c>
      <c r="C40" s="28">
        <v>2.383</v>
      </c>
      <c r="D40" s="1">
        <v>19</v>
      </c>
      <c r="E40" s="1">
        <v>1</v>
      </c>
      <c r="F40" s="1">
        <v>2</v>
      </c>
      <c r="G40" s="11">
        <v>2.8414999999999999</v>
      </c>
      <c r="H40" s="12">
        <v>1.577</v>
      </c>
      <c r="I40" s="13">
        <v>2.8525</v>
      </c>
      <c r="J40" s="18">
        <f t="shared" si="1"/>
        <v>2.2277538220305759</v>
      </c>
      <c r="K40" s="18">
        <f t="shared" si="0"/>
        <v>6.5147368010668893</v>
      </c>
      <c r="L40" s="56">
        <v>4.9400000000000004</v>
      </c>
      <c r="M40" s="56">
        <v>5.68</v>
      </c>
      <c r="N40" s="1">
        <v>3.9</v>
      </c>
      <c r="O40" s="28">
        <v>2.2909999999999999</v>
      </c>
      <c r="P40" s="60">
        <v>14.9</v>
      </c>
      <c r="Q40" s="1">
        <v>74</v>
      </c>
      <c r="R40" s="60">
        <v>1</v>
      </c>
      <c r="S40" s="1">
        <v>83</v>
      </c>
      <c r="T40" s="1">
        <v>47</v>
      </c>
      <c r="U40" s="1">
        <v>34</v>
      </c>
      <c r="V40" s="36">
        <v>5</v>
      </c>
    </row>
    <row r="41" spans="1:22" x14ac:dyDescent="0.2">
      <c r="A41" s="1">
        <v>4</v>
      </c>
      <c r="B41" s="1" t="s">
        <v>41</v>
      </c>
      <c r="C41" s="28">
        <v>2.383</v>
      </c>
      <c r="D41" s="1">
        <v>19</v>
      </c>
      <c r="E41" s="1">
        <v>1</v>
      </c>
      <c r="F41" s="1">
        <v>3</v>
      </c>
      <c r="G41" s="11">
        <v>2.7429999999999999</v>
      </c>
      <c r="H41" s="12">
        <v>1.5305</v>
      </c>
      <c r="I41" s="13">
        <v>2.758</v>
      </c>
      <c r="J41" s="18">
        <f t="shared" si="1"/>
        <v>2.2346232179226067</v>
      </c>
      <c r="K41" s="18">
        <f t="shared" si="0"/>
        <v>6.226470082979163</v>
      </c>
      <c r="L41" s="56">
        <v>4.9400000000000004</v>
      </c>
      <c r="M41" s="56">
        <v>5.68</v>
      </c>
      <c r="N41" s="1">
        <v>3.9</v>
      </c>
      <c r="O41" s="28">
        <v>2.2909999999999999</v>
      </c>
      <c r="P41" s="60">
        <v>14.9</v>
      </c>
      <c r="Q41" s="1">
        <v>74</v>
      </c>
      <c r="R41" s="60">
        <v>1</v>
      </c>
      <c r="S41" s="1">
        <v>83</v>
      </c>
      <c r="T41" s="1">
        <v>47</v>
      </c>
      <c r="U41" s="1">
        <v>34</v>
      </c>
      <c r="V41" s="36">
        <v>5</v>
      </c>
    </row>
    <row r="42" spans="1:22" x14ac:dyDescent="0.2">
      <c r="A42" s="1">
        <v>4</v>
      </c>
      <c r="B42" s="1" t="s">
        <v>41</v>
      </c>
      <c r="C42" s="28">
        <v>2.383</v>
      </c>
      <c r="D42" s="1">
        <v>19</v>
      </c>
      <c r="E42" s="5">
        <v>1</v>
      </c>
      <c r="F42" s="5">
        <v>4</v>
      </c>
      <c r="G42" s="14">
        <v>2.6680000000000001</v>
      </c>
      <c r="H42" s="9">
        <v>1.4910000000000001</v>
      </c>
      <c r="I42" s="15">
        <v>2.6840000000000002</v>
      </c>
      <c r="J42" s="19">
        <f t="shared" si="1"/>
        <v>2.2363788767812238</v>
      </c>
      <c r="K42" s="19">
        <f t="shared" si="0"/>
        <v>6.1527957708256924</v>
      </c>
      <c r="L42" s="58">
        <v>4.9400000000000004</v>
      </c>
      <c r="M42" s="58">
        <v>5.68</v>
      </c>
      <c r="N42" s="5">
        <v>3.9</v>
      </c>
      <c r="O42" s="53">
        <v>2.2909999999999999</v>
      </c>
      <c r="P42" s="62">
        <v>14.9</v>
      </c>
      <c r="Q42" s="5">
        <v>74</v>
      </c>
      <c r="R42" s="62">
        <v>1</v>
      </c>
      <c r="S42" s="5">
        <v>83</v>
      </c>
      <c r="T42" s="5">
        <v>47</v>
      </c>
      <c r="U42" s="5">
        <v>34</v>
      </c>
      <c r="V42" s="43">
        <v>5</v>
      </c>
    </row>
    <row r="43" spans="1:22" x14ac:dyDescent="0.2">
      <c r="A43" s="1">
        <v>4</v>
      </c>
      <c r="B43" s="1" t="s">
        <v>42</v>
      </c>
      <c r="C43" s="28">
        <v>2.383</v>
      </c>
      <c r="D43" s="1">
        <v>19</v>
      </c>
      <c r="E43" s="26">
        <v>2</v>
      </c>
      <c r="F43" s="26">
        <v>0</v>
      </c>
      <c r="G43" s="21">
        <v>24.1585</v>
      </c>
      <c r="H43" s="22">
        <v>13.44</v>
      </c>
      <c r="I43" s="23">
        <v>24.414999999999999</v>
      </c>
      <c r="J43" s="24">
        <f t="shared" si="1"/>
        <v>2.20123006833713</v>
      </c>
      <c r="K43" s="24">
        <f t="shared" si="0"/>
        <v>7.6277772414129252</v>
      </c>
      <c r="L43" s="56">
        <v>4.9400000000000004</v>
      </c>
      <c r="M43" s="56">
        <v>5.68</v>
      </c>
      <c r="N43" s="1">
        <v>3.9</v>
      </c>
      <c r="O43" s="28">
        <v>2.2909999999999999</v>
      </c>
      <c r="P43" s="60">
        <v>14.9</v>
      </c>
      <c r="Q43" s="1">
        <v>74</v>
      </c>
      <c r="R43" s="60">
        <v>1</v>
      </c>
      <c r="S43" s="1">
        <v>83</v>
      </c>
      <c r="T43" s="1">
        <v>47</v>
      </c>
      <c r="U43" s="1">
        <v>34</v>
      </c>
      <c r="V43" s="36">
        <v>5</v>
      </c>
    </row>
    <row r="44" spans="1:22" x14ac:dyDescent="0.2">
      <c r="A44" s="1">
        <v>4</v>
      </c>
      <c r="B44" s="1" t="s">
        <v>42</v>
      </c>
      <c r="C44" s="28">
        <v>2.383</v>
      </c>
      <c r="D44" s="1">
        <v>19</v>
      </c>
      <c r="E44" s="1">
        <v>2</v>
      </c>
      <c r="F44" s="1">
        <v>1</v>
      </c>
      <c r="G44" s="11">
        <v>2.8214999999999999</v>
      </c>
      <c r="H44" s="12">
        <v>1.573</v>
      </c>
      <c r="I44" s="13">
        <v>2.8330000000000002</v>
      </c>
      <c r="J44" s="18">
        <f t="shared" si="1"/>
        <v>2.2392857142857139</v>
      </c>
      <c r="K44" s="18">
        <f t="shared" si="0"/>
        <v>6.0308135003896872</v>
      </c>
      <c r="L44" s="56">
        <v>4.9400000000000004</v>
      </c>
      <c r="M44" s="56">
        <v>5.68</v>
      </c>
      <c r="N44" s="1">
        <v>3.9</v>
      </c>
      <c r="O44" s="28">
        <v>2.2909999999999999</v>
      </c>
      <c r="P44" s="60">
        <v>14.9</v>
      </c>
      <c r="Q44" s="1">
        <v>74</v>
      </c>
      <c r="R44" s="60">
        <v>1</v>
      </c>
      <c r="S44" s="1">
        <v>83</v>
      </c>
      <c r="T44" s="1">
        <v>47</v>
      </c>
      <c r="U44" s="1">
        <v>34</v>
      </c>
      <c r="V44" s="36">
        <v>5</v>
      </c>
    </row>
    <row r="45" spans="1:22" x14ac:dyDescent="0.2">
      <c r="A45" s="1">
        <v>4</v>
      </c>
      <c r="B45" s="1" t="s">
        <v>42</v>
      </c>
      <c r="C45" s="28">
        <v>2.383</v>
      </c>
      <c r="D45" s="1">
        <v>19</v>
      </c>
      <c r="E45" s="1">
        <v>2</v>
      </c>
      <c r="F45" s="1">
        <v>2</v>
      </c>
      <c r="G45" s="11">
        <v>2.6960000000000002</v>
      </c>
      <c r="H45" s="12">
        <v>1.4984999999999999</v>
      </c>
      <c r="I45" s="13">
        <v>2.7195</v>
      </c>
      <c r="J45" s="18">
        <f t="shared" si="1"/>
        <v>2.2080262080262081</v>
      </c>
      <c r="K45" s="18">
        <f t="shared" si="0"/>
        <v>7.3425846401087629</v>
      </c>
      <c r="L45" s="56">
        <v>4.9400000000000004</v>
      </c>
      <c r="M45" s="56">
        <v>5.68</v>
      </c>
      <c r="N45" s="1">
        <v>3.9</v>
      </c>
      <c r="O45" s="28">
        <v>2.2909999999999999</v>
      </c>
      <c r="P45" s="60">
        <v>14.9</v>
      </c>
      <c r="Q45" s="1">
        <v>74</v>
      </c>
      <c r="R45" s="60">
        <v>1</v>
      </c>
      <c r="S45" s="1">
        <v>83</v>
      </c>
      <c r="T45" s="1">
        <v>47</v>
      </c>
      <c r="U45" s="1">
        <v>34</v>
      </c>
      <c r="V45" s="36">
        <v>5</v>
      </c>
    </row>
    <row r="46" spans="1:22" x14ac:dyDescent="0.2">
      <c r="A46" s="1">
        <v>4</v>
      </c>
      <c r="B46" s="1" t="s">
        <v>42</v>
      </c>
      <c r="C46" s="28">
        <v>2.383</v>
      </c>
      <c r="D46" s="1">
        <v>19</v>
      </c>
      <c r="E46" s="1">
        <v>2</v>
      </c>
      <c r="F46" s="1">
        <v>3</v>
      </c>
      <c r="G46" s="11">
        <v>2.7685</v>
      </c>
      <c r="H46" s="12">
        <v>1.5415000000000001</v>
      </c>
      <c r="I46" s="13">
        <v>2.786</v>
      </c>
      <c r="J46" s="18">
        <f t="shared" si="1"/>
        <v>2.2245881880273202</v>
      </c>
      <c r="K46" s="18">
        <f t="shared" si="0"/>
        <v>6.6475791847536598</v>
      </c>
      <c r="L46" s="56">
        <v>4.9400000000000004</v>
      </c>
      <c r="M46" s="56">
        <v>5.68</v>
      </c>
      <c r="N46" s="1">
        <v>3.9</v>
      </c>
      <c r="O46" s="28">
        <v>2.2909999999999999</v>
      </c>
      <c r="P46" s="60">
        <v>14.9</v>
      </c>
      <c r="Q46" s="1">
        <v>74</v>
      </c>
      <c r="R46" s="60">
        <v>1</v>
      </c>
      <c r="S46" s="1">
        <v>83</v>
      </c>
      <c r="T46" s="1">
        <v>47</v>
      </c>
      <c r="U46" s="1">
        <v>34</v>
      </c>
      <c r="V46" s="36">
        <v>5</v>
      </c>
    </row>
    <row r="47" spans="1:22" ht="16" thickBot="1" x14ac:dyDescent="0.25">
      <c r="A47" s="1">
        <v>4</v>
      </c>
      <c r="B47" s="1" t="s">
        <v>42</v>
      </c>
      <c r="C47" s="29">
        <v>2.383</v>
      </c>
      <c r="D47" s="2">
        <v>19</v>
      </c>
      <c r="E47" s="2">
        <v>2</v>
      </c>
      <c r="F47" s="2">
        <v>4</v>
      </c>
      <c r="G47" s="16">
        <v>2.778</v>
      </c>
      <c r="H47" s="10">
        <v>1.5489999999999999</v>
      </c>
      <c r="I47" s="17">
        <v>2.7989999999999999</v>
      </c>
      <c r="J47" s="20">
        <f t="shared" si="1"/>
        <v>2.2223999999999999</v>
      </c>
      <c r="K47" s="20">
        <f t="shared" si="0"/>
        <v>6.7394041124632871</v>
      </c>
      <c r="L47" s="57">
        <v>4.9400000000000004</v>
      </c>
      <c r="M47" s="57">
        <v>5.68</v>
      </c>
      <c r="N47" s="2">
        <v>3.9</v>
      </c>
      <c r="O47" s="29">
        <v>2.2909999999999999</v>
      </c>
      <c r="P47" s="61">
        <v>14.9</v>
      </c>
      <c r="Q47" s="2">
        <v>74</v>
      </c>
      <c r="R47" s="61">
        <v>1</v>
      </c>
      <c r="S47" s="2">
        <v>83</v>
      </c>
      <c r="T47" s="2">
        <v>47</v>
      </c>
      <c r="U47" s="2">
        <v>34</v>
      </c>
      <c r="V47" s="4">
        <v>5</v>
      </c>
    </row>
    <row r="48" spans="1:22" x14ac:dyDescent="0.2">
      <c r="A48" s="1">
        <v>5</v>
      </c>
      <c r="B48" s="1" t="s">
        <v>43</v>
      </c>
      <c r="C48" s="28">
        <v>2.3940000000000001</v>
      </c>
      <c r="D48" s="1">
        <v>12.5</v>
      </c>
      <c r="E48" s="26">
        <v>1</v>
      </c>
      <c r="F48" s="26">
        <v>0</v>
      </c>
      <c r="G48" s="21">
        <v>24.489000000000001</v>
      </c>
      <c r="H48" s="22">
        <v>13.62</v>
      </c>
      <c r="I48" s="23">
        <v>24.653400000000001</v>
      </c>
      <c r="J48" s="24">
        <f t="shared" si="1"/>
        <v>2.2195334167165148</v>
      </c>
      <c r="K48" s="24">
        <f t="shared" si="0"/>
        <v>7.287660120446338</v>
      </c>
      <c r="L48" s="56">
        <v>4.8899999999999997</v>
      </c>
      <c r="M48" s="56">
        <v>6</v>
      </c>
      <c r="N48" s="1">
        <v>3.9</v>
      </c>
      <c r="O48" s="28">
        <v>2.2999999999999998</v>
      </c>
      <c r="P48" s="60">
        <v>14.9</v>
      </c>
      <c r="Q48" s="1">
        <v>74</v>
      </c>
      <c r="R48" s="60">
        <v>1.2</v>
      </c>
      <c r="S48" s="1">
        <v>94</v>
      </c>
      <c r="T48" s="1">
        <v>53</v>
      </c>
      <c r="U48" s="1">
        <v>38</v>
      </c>
      <c r="V48" s="36">
        <v>5.8</v>
      </c>
    </row>
    <row r="49" spans="1:22" x14ac:dyDescent="0.2">
      <c r="A49" s="1">
        <v>5</v>
      </c>
      <c r="B49" s="1" t="s">
        <v>43</v>
      </c>
      <c r="C49" s="28">
        <v>2.3940000000000001</v>
      </c>
      <c r="D49" s="1">
        <v>12.5</v>
      </c>
      <c r="E49" s="1">
        <v>1</v>
      </c>
      <c r="F49" s="1">
        <v>1</v>
      </c>
      <c r="G49" s="11">
        <v>2.7705000000000002</v>
      </c>
      <c r="H49" s="12">
        <v>1.5425</v>
      </c>
      <c r="I49" s="13">
        <v>2.7934999999999999</v>
      </c>
      <c r="J49" s="18">
        <f t="shared" si="1"/>
        <v>2.2146282973621108</v>
      </c>
      <c r="K49" s="18">
        <f t="shared" si="0"/>
        <v>7.4925523240555236</v>
      </c>
      <c r="L49" s="56">
        <v>4.8899999999999997</v>
      </c>
      <c r="M49" s="56">
        <v>6</v>
      </c>
      <c r="N49" s="1">
        <v>3.9</v>
      </c>
      <c r="O49" s="28">
        <v>2.2999999999999998</v>
      </c>
      <c r="P49" s="60">
        <v>14.9</v>
      </c>
      <c r="Q49" s="1">
        <v>74</v>
      </c>
      <c r="R49" s="60">
        <v>1.2</v>
      </c>
      <c r="S49" s="1">
        <v>94</v>
      </c>
      <c r="T49" s="1">
        <v>53</v>
      </c>
      <c r="U49" s="1">
        <v>38</v>
      </c>
      <c r="V49" s="36">
        <v>5.8</v>
      </c>
    </row>
    <row r="50" spans="1:22" x14ac:dyDescent="0.2">
      <c r="A50" s="1">
        <v>5</v>
      </c>
      <c r="B50" s="1" t="s">
        <v>43</v>
      </c>
      <c r="C50" s="28">
        <v>2.3940000000000001</v>
      </c>
      <c r="D50" s="1">
        <v>12.5</v>
      </c>
      <c r="E50" s="1">
        <v>1</v>
      </c>
      <c r="F50" s="1">
        <v>2</v>
      </c>
      <c r="G50" s="11">
        <v>2.6945000000000001</v>
      </c>
      <c r="H50" s="12">
        <v>1.496</v>
      </c>
      <c r="I50" s="13">
        <v>2.7094999999999998</v>
      </c>
      <c r="J50" s="18">
        <f t="shared" si="1"/>
        <v>2.2204367531932432</v>
      </c>
      <c r="K50" s="18">
        <f t="shared" si="0"/>
        <v>7.2499267671995327</v>
      </c>
      <c r="L50" s="56">
        <v>4.8899999999999997</v>
      </c>
      <c r="M50" s="56">
        <v>6</v>
      </c>
      <c r="N50" s="1">
        <v>3.9</v>
      </c>
      <c r="O50" s="28">
        <v>2.2999999999999998</v>
      </c>
      <c r="P50" s="60">
        <v>14.9</v>
      </c>
      <c r="Q50" s="1">
        <v>74</v>
      </c>
      <c r="R50" s="60">
        <v>1.2</v>
      </c>
      <c r="S50" s="1">
        <v>94</v>
      </c>
      <c r="T50" s="1">
        <v>53</v>
      </c>
      <c r="U50" s="1">
        <v>38</v>
      </c>
      <c r="V50" s="36">
        <v>5.8</v>
      </c>
    </row>
    <row r="51" spans="1:22" x14ac:dyDescent="0.2">
      <c r="A51" s="1">
        <v>5</v>
      </c>
      <c r="B51" s="1" t="s">
        <v>43</v>
      </c>
      <c r="C51" s="28">
        <v>2.3940000000000001</v>
      </c>
      <c r="D51" s="1">
        <v>12.5</v>
      </c>
      <c r="E51" s="1">
        <v>1</v>
      </c>
      <c r="F51" s="1">
        <v>3</v>
      </c>
      <c r="G51" s="11">
        <v>2.7825000000000002</v>
      </c>
      <c r="H51" s="12">
        <v>1.554</v>
      </c>
      <c r="I51" s="13">
        <v>2.8090000000000002</v>
      </c>
      <c r="J51" s="18">
        <f t="shared" si="1"/>
        <v>2.2171314741035855</v>
      </c>
      <c r="K51" s="18">
        <f t="shared" si="0"/>
        <v>7.3879918920808141</v>
      </c>
      <c r="L51" s="56">
        <v>4.8899999999999997</v>
      </c>
      <c r="M51" s="56">
        <v>6</v>
      </c>
      <c r="N51" s="1">
        <v>3.9</v>
      </c>
      <c r="O51" s="28">
        <v>2.2999999999999998</v>
      </c>
      <c r="P51" s="60">
        <v>14.9</v>
      </c>
      <c r="Q51" s="1">
        <v>74</v>
      </c>
      <c r="R51" s="60">
        <v>1.2</v>
      </c>
      <c r="S51" s="1">
        <v>94</v>
      </c>
      <c r="T51" s="1">
        <v>53</v>
      </c>
      <c r="U51" s="1">
        <v>38</v>
      </c>
      <c r="V51" s="36">
        <v>5.8</v>
      </c>
    </row>
    <row r="52" spans="1:22" x14ac:dyDescent="0.2">
      <c r="A52" s="1">
        <v>5</v>
      </c>
      <c r="B52" s="1" t="s">
        <v>43</v>
      </c>
      <c r="C52" s="28">
        <v>2.3940000000000001</v>
      </c>
      <c r="D52" s="1">
        <v>12.5</v>
      </c>
      <c r="E52" s="5">
        <v>1</v>
      </c>
      <c r="F52" s="5">
        <v>4</v>
      </c>
      <c r="G52" s="14">
        <v>2.6974999999999998</v>
      </c>
      <c r="H52" s="9">
        <v>1.5085</v>
      </c>
      <c r="I52" s="15">
        <v>2.7240000000000002</v>
      </c>
      <c r="J52" s="19">
        <f t="shared" si="1"/>
        <v>2.2192513368983953</v>
      </c>
      <c r="K52" s="19">
        <f t="shared" si="0"/>
        <v>7.2994429031580932</v>
      </c>
      <c r="L52" s="58">
        <v>4.8899999999999997</v>
      </c>
      <c r="M52" s="58">
        <v>6</v>
      </c>
      <c r="N52" s="5">
        <v>3.9</v>
      </c>
      <c r="O52" s="53">
        <v>2.2999999999999998</v>
      </c>
      <c r="P52" s="62">
        <v>14.9</v>
      </c>
      <c r="Q52" s="5">
        <v>74</v>
      </c>
      <c r="R52" s="62">
        <v>1.2</v>
      </c>
      <c r="S52" s="5">
        <v>94</v>
      </c>
      <c r="T52" s="5">
        <v>53</v>
      </c>
      <c r="U52" s="5">
        <v>38</v>
      </c>
      <c r="V52" s="43">
        <v>5.8</v>
      </c>
    </row>
    <row r="53" spans="1:22" x14ac:dyDescent="0.2">
      <c r="A53" s="1">
        <v>5</v>
      </c>
      <c r="B53" s="1" t="s">
        <v>44</v>
      </c>
      <c r="C53" s="28">
        <v>2.3940000000000001</v>
      </c>
      <c r="D53" s="1">
        <v>12.5</v>
      </c>
      <c r="E53" s="26">
        <v>2</v>
      </c>
      <c r="F53" s="26">
        <v>0</v>
      </c>
      <c r="G53" s="21">
        <v>24.1282</v>
      </c>
      <c r="H53" s="22">
        <v>13.532</v>
      </c>
      <c r="I53" s="23">
        <v>24.425000000000001</v>
      </c>
      <c r="J53" s="24">
        <f t="shared" si="1"/>
        <v>2.2150188194253189</v>
      </c>
      <c r="K53" s="24">
        <f t="shared" si="0"/>
        <v>7.476239790086936</v>
      </c>
      <c r="L53" s="56">
        <v>4.8899999999999997</v>
      </c>
      <c r="M53" s="56">
        <v>6</v>
      </c>
      <c r="N53" s="1">
        <v>3.9</v>
      </c>
      <c r="O53" s="28">
        <v>2.2999999999999998</v>
      </c>
      <c r="P53" s="60">
        <v>14.9</v>
      </c>
      <c r="Q53" s="1">
        <v>74</v>
      </c>
      <c r="R53" s="60">
        <v>1.2</v>
      </c>
      <c r="S53" s="1">
        <v>94</v>
      </c>
      <c r="T53" s="1">
        <v>53</v>
      </c>
      <c r="U53" s="1">
        <v>38</v>
      </c>
      <c r="V53" s="36">
        <v>5.8</v>
      </c>
    </row>
    <row r="54" spans="1:22" x14ac:dyDescent="0.2">
      <c r="A54" s="1">
        <v>5</v>
      </c>
      <c r="B54" s="1" t="s">
        <v>44</v>
      </c>
      <c r="C54" s="28">
        <v>2.3940000000000001</v>
      </c>
      <c r="D54" s="1">
        <v>12.5</v>
      </c>
      <c r="E54" s="1">
        <v>2</v>
      </c>
      <c r="F54" s="1">
        <v>1</v>
      </c>
      <c r="G54" s="11">
        <v>2.8454999999999999</v>
      </c>
      <c r="H54" s="12">
        <v>1.5874999999999999</v>
      </c>
      <c r="I54" s="13">
        <v>2.8654999999999999</v>
      </c>
      <c r="J54" s="18">
        <f t="shared" si="1"/>
        <v>2.226525821596244</v>
      </c>
      <c r="K54" s="18">
        <f t="shared" si="0"/>
        <v>6.9955797161134541</v>
      </c>
      <c r="L54" s="56">
        <v>4.8899999999999997</v>
      </c>
      <c r="M54" s="56">
        <v>6</v>
      </c>
      <c r="N54" s="1">
        <v>3.9</v>
      </c>
      <c r="O54" s="28">
        <v>2.2999999999999998</v>
      </c>
      <c r="P54" s="60">
        <v>14.9</v>
      </c>
      <c r="Q54" s="1">
        <v>74</v>
      </c>
      <c r="R54" s="60">
        <v>1.2</v>
      </c>
      <c r="S54" s="1">
        <v>94</v>
      </c>
      <c r="T54" s="1">
        <v>53</v>
      </c>
      <c r="U54" s="1">
        <v>38</v>
      </c>
      <c r="V54" s="36">
        <v>5.8</v>
      </c>
    </row>
    <row r="55" spans="1:22" x14ac:dyDescent="0.2">
      <c r="A55" s="1">
        <v>5</v>
      </c>
      <c r="B55" s="1" t="s">
        <v>44</v>
      </c>
      <c r="C55" s="28">
        <v>2.3940000000000001</v>
      </c>
      <c r="D55" s="1">
        <v>12.5</v>
      </c>
      <c r="E55" s="1">
        <v>2</v>
      </c>
      <c r="F55" s="1">
        <v>2</v>
      </c>
      <c r="G55" s="11">
        <v>2.8285</v>
      </c>
      <c r="H55" s="12">
        <v>1.5765</v>
      </c>
      <c r="I55" s="13">
        <v>2.8530000000000002</v>
      </c>
      <c r="J55" s="18">
        <f t="shared" si="1"/>
        <v>2.2158245201723461</v>
      </c>
      <c r="K55" s="18">
        <f t="shared" si="0"/>
        <v>7.4425847881225522</v>
      </c>
      <c r="L55" s="56">
        <v>4.8899999999999997</v>
      </c>
      <c r="M55" s="56">
        <v>6</v>
      </c>
      <c r="N55" s="1">
        <v>3.9</v>
      </c>
      <c r="O55" s="28">
        <v>2.2999999999999998</v>
      </c>
      <c r="P55" s="60">
        <v>14.9</v>
      </c>
      <c r="Q55" s="1">
        <v>74</v>
      </c>
      <c r="R55" s="60">
        <v>1.2</v>
      </c>
      <c r="S55" s="1">
        <v>94</v>
      </c>
      <c r="T55" s="1">
        <v>53</v>
      </c>
      <c r="U55" s="1">
        <v>38</v>
      </c>
      <c r="V55" s="36">
        <v>5.8</v>
      </c>
    </row>
    <row r="56" spans="1:22" x14ac:dyDescent="0.2">
      <c r="A56" s="1">
        <v>5</v>
      </c>
      <c r="B56" s="1" t="s">
        <v>44</v>
      </c>
      <c r="C56" s="28">
        <v>2.3940000000000001</v>
      </c>
      <c r="D56" s="1">
        <v>12.5</v>
      </c>
      <c r="E56" s="1">
        <v>2</v>
      </c>
      <c r="F56" s="1">
        <v>3</v>
      </c>
      <c r="G56" s="11">
        <v>2.8479999999999999</v>
      </c>
      <c r="H56" s="12">
        <v>1.5940000000000001</v>
      </c>
      <c r="I56" s="13">
        <v>2.87</v>
      </c>
      <c r="J56" s="18">
        <f t="shared" si="1"/>
        <v>2.2319749216300937</v>
      </c>
      <c r="K56" s="18">
        <f t="shared" si="0"/>
        <v>6.767964844189911</v>
      </c>
      <c r="L56" s="56">
        <v>4.8899999999999997</v>
      </c>
      <c r="M56" s="56">
        <v>6</v>
      </c>
      <c r="N56" s="1">
        <v>3.9</v>
      </c>
      <c r="O56" s="28">
        <v>2.2999999999999998</v>
      </c>
      <c r="P56" s="60">
        <v>14.9</v>
      </c>
      <c r="Q56" s="1">
        <v>74</v>
      </c>
      <c r="R56" s="60">
        <v>1.2</v>
      </c>
      <c r="S56" s="1">
        <v>94</v>
      </c>
      <c r="T56" s="1">
        <v>53</v>
      </c>
      <c r="U56" s="1">
        <v>38</v>
      </c>
      <c r="V56" s="36">
        <v>5.8</v>
      </c>
    </row>
    <row r="57" spans="1:22" ht="16" thickBot="1" x14ac:dyDescent="0.25">
      <c r="A57" s="1">
        <v>5</v>
      </c>
      <c r="B57" s="1" t="s">
        <v>44</v>
      </c>
      <c r="C57" s="29">
        <v>2.3940000000000001</v>
      </c>
      <c r="D57" s="2">
        <v>12.5</v>
      </c>
      <c r="E57" s="2">
        <v>2</v>
      </c>
      <c r="F57" s="2">
        <v>4</v>
      </c>
      <c r="G57" s="16">
        <v>2.8</v>
      </c>
      <c r="H57" s="10">
        <v>1.5615000000000001</v>
      </c>
      <c r="I57" s="17">
        <v>2.82</v>
      </c>
      <c r="J57" s="20">
        <f t="shared" si="1"/>
        <v>2.2248708780294004</v>
      </c>
      <c r="K57" s="20">
        <f t="shared" si="0"/>
        <v>7.0647085200751807</v>
      </c>
      <c r="L57" s="57">
        <v>4.8899999999999997</v>
      </c>
      <c r="M57" s="57">
        <v>6</v>
      </c>
      <c r="N57" s="2">
        <v>3.9</v>
      </c>
      <c r="O57" s="29">
        <v>2.2999999999999998</v>
      </c>
      <c r="P57" s="61">
        <v>14.9</v>
      </c>
      <c r="Q57" s="2">
        <v>74</v>
      </c>
      <c r="R57" s="61">
        <v>1.2</v>
      </c>
      <c r="S57" s="2">
        <v>94</v>
      </c>
      <c r="T57" s="2">
        <v>53</v>
      </c>
      <c r="U57" s="2">
        <v>38</v>
      </c>
      <c r="V57" s="4">
        <v>5.8</v>
      </c>
    </row>
    <row r="58" spans="1:22" x14ac:dyDescent="0.2">
      <c r="A58" s="1">
        <v>6</v>
      </c>
      <c r="B58" s="1" t="s">
        <v>45</v>
      </c>
      <c r="C58" s="28">
        <v>2.39</v>
      </c>
      <c r="D58" s="1">
        <v>19</v>
      </c>
      <c r="E58" s="26">
        <v>1</v>
      </c>
      <c r="F58" s="26">
        <v>0</v>
      </c>
      <c r="G58" s="21">
        <v>24.475999999999999</v>
      </c>
      <c r="H58" s="22">
        <v>13.62</v>
      </c>
      <c r="I58" s="23">
        <v>24.7075</v>
      </c>
      <c r="J58" s="24">
        <f t="shared" si="1"/>
        <v>2.2075310033821869</v>
      </c>
      <c r="K58" s="24">
        <f t="shared" si="0"/>
        <v>7.6346860509545316</v>
      </c>
      <c r="L58" s="56">
        <v>4.9400000000000004</v>
      </c>
      <c r="M58" s="56">
        <v>5.96</v>
      </c>
      <c r="N58" s="1">
        <v>3.5</v>
      </c>
      <c r="O58" s="28">
        <v>2.3069999999999999</v>
      </c>
      <c r="P58" s="60">
        <v>14.6</v>
      </c>
      <c r="Q58" s="1">
        <v>76</v>
      </c>
      <c r="R58" s="60">
        <v>1.1000000000000001</v>
      </c>
      <c r="S58" s="1">
        <v>87</v>
      </c>
      <c r="T58" s="1">
        <v>47</v>
      </c>
      <c r="U58" s="1">
        <v>33</v>
      </c>
      <c r="V58" s="36">
        <v>5.4</v>
      </c>
    </row>
    <row r="59" spans="1:22" x14ac:dyDescent="0.2">
      <c r="A59" s="1">
        <v>6</v>
      </c>
      <c r="B59" s="1" t="s">
        <v>45</v>
      </c>
      <c r="C59" s="28">
        <v>2.39</v>
      </c>
      <c r="D59" s="1">
        <v>19</v>
      </c>
      <c r="E59" s="1">
        <v>1</v>
      </c>
      <c r="F59" s="1">
        <v>1</v>
      </c>
      <c r="G59" s="11">
        <v>2.7555000000000001</v>
      </c>
      <c r="H59" s="12">
        <v>1.5385</v>
      </c>
      <c r="I59" s="13">
        <v>2.7685</v>
      </c>
      <c r="J59" s="18">
        <f t="shared" si="1"/>
        <v>2.2402439024390244</v>
      </c>
      <c r="K59" s="18">
        <f t="shared" si="0"/>
        <v>6.2659455046433337</v>
      </c>
      <c r="L59" s="56">
        <v>4.9400000000000004</v>
      </c>
      <c r="M59" s="56">
        <v>5.96</v>
      </c>
      <c r="N59" s="1">
        <v>3.5</v>
      </c>
      <c r="O59" s="28">
        <v>2.3069999999999999</v>
      </c>
      <c r="P59" s="60">
        <v>14.6</v>
      </c>
      <c r="Q59" s="1">
        <v>76</v>
      </c>
      <c r="R59" s="60">
        <v>1.1000000000000001</v>
      </c>
      <c r="S59" s="1">
        <v>87</v>
      </c>
      <c r="T59" s="1">
        <v>47</v>
      </c>
      <c r="U59" s="1">
        <v>33</v>
      </c>
      <c r="V59" s="36">
        <v>5.4</v>
      </c>
    </row>
    <row r="60" spans="1:22" x14ac:dyDescent="0.2">
      <c r="A60" s="1">
        <v>6</v>
      </c>
      <c r="B60" s="1" t="s">
        <v>45</v>
      </c>
      <c r="C60" s="28">
        <v>2.39</v>
      </c>
      <c r="D60" s="1">
        <v>19</v>
      </c>
      <c r="E60" s="1">
        <v>1</v>
      </c>
      <c r="F60" s="1">
        <v>2</v>
      </c>
      <c r="G60" s="11">
        <v>2.7845</v>
      </c>
      <c r="H60" s="12">
        <v>1.5515000000000001</v>
      </c>
      <c r="I60" s="13">
        <v>2.7959999999999998</v>
      </c>
      <c r="J60" s="18">
        <f t="shared" si="1"/>
        <v>2.2374447569304947</v>
      </c>
      <c r="K60" s="18">
        <f t="shared" si="0"/>
        <v>6.3830645635776335</v>
      </c>
      <c r="L60" s="56">
        <v>4.9400000000000004</v>
      </c>
      <c r="M60" s="56">
        <v>5.96</v>
      </c>
      <c r="N60" s="1">
        <v>3.5</v>
      </c>
      <c r="O60" s="28">
        <v>2.3069999999999999</v>
      </c>
      <c r="P60" s="60">
        <v>14.6</v>
      </c>
      <c r="Q60" s="1">
        <v>76</v>
      </c>
      <c r="R60" s="60">
        <v>1.1000000000000001</v>
      </c>
      <c r="S60" s="1">
        <v>87</v>
      </c>
      <c r="T60" s="1">
        <v>47</v>
      </c>
      <c r="U60" s="1">
        <v>33</v>
      </c>
      <c r="V60" s="36">
        <v>5.4</v>
      </c>
    </row>
    <row r="61" spans="1:22" x14ac:dyDescent="0.2">
      <c r="A61" s="1">
        <v>6</v>
      </c>
      <c r="B61" s="1" t="s">
        <v>45</v>
      </c>
      <c r="C61" s="28">
        <v>2.39</v>
      </c>
      <c r="D61" s="1">
        <v>19</v>
      </c>
      <c r="E61" s="1">
        <v>1</v>
      </c>
      <c r="F61" s="1">
        <v>3</v>
      </c>
      <c r="G61" s="11">
        <v>2.7839999999999998</v>
      </c>
      <c r="H61" s="12">
        <v>1.554</v>
      </c>
      <c r="I61" s="13">
        <v>2.7985000000000002</v>
      </c>
      <c r="J61" s="18">
        <f t="shared" si="1"/>
        <v>2.2370429891522696</v>
      </c>
      <c r="K61" s="18">
        <f t="shared" si="0"/>
        <v>6.399874930867389</v>
      </c>
      <c r="L61" s="56">
        <v>4.9400000000000004</v>
      </c>
      <c r="M61" s="56">
        <v>5.96</v>
      </c>
      <c r="N61" s="1">
        <v>3.5</v>
      </c>
      <c r="O61" s="28">
        <v>2.3069999999999999</v>
      </c>
      <c r="P61" s="60">
        <v>14.6</v>
      </c>
      <c r="Q61" s="1">
        <v>76</v>
      </c>
      <c r="R61" s="60">
        <v>1.1000000000000001</v>
      </c>
      <c r="S61" s="1">
        <v>87</v>
      </c>
      <c r="T61" s="1">
        <v>47</v>
      </c>
      <c r="U61" s="1">
        <v>33</v>
      </c>
      <c r="V61" s="36">
        <v>5.4</v>
      </c>
    </row>
    <row r="62" spans="1:22" x14ac:dyDescent="0.2">
      <c r="A62" s="1">
        <v>6</v>
      </c>
      <c r="B62" s="1" t="s">
        <v>45</v>
      </c>
      <c r="C62" s="28">
        <v>2.39</v>
      </c>
      <c r="D62" s="1">
        <v>19</v>
      </c>
      <c r="E62" s="5">
        <v>1</v>
      </c>
      <c r="F62" s="5">
        <v>4</v>
      </c>
      <c r="G62" s="14">
        <v>2.7610000000000001</v>
      </c>
      <c r="H62" s="9">
        <v>1.5369999999999999</v>
      </c>
      <c r="I62" s="15">
        <v>2.7715000000000001</v>
      </c>
      <c r="J62" s="19">
        <f t="shared" si="1"/>
        <v>2.236533009315512</v>
      </c>
      <c r="K62" s="19">
        <f t="shared" si="0"/>
        <v>6.421212999350967</v>
      </c>
      <c r="L62" s="58">
        <v>4.9400000000000004</v>
      </c>
      <c r="M62" s="58">
        <v>5.96</v>
      </c>
      <c r="N62" s="5">
        <v>3.5</v>
      </c>
      <c r="O62" s="53">
        <v>2.3069999999999999</v>
      </c>
      <c r="P62" s="62">
        <v>14.6</v>
      </c>
      <c r="Q62" s="5">
        <v>76</v>
      </c>
      <c r="R62" s="62">
        <v>1.1000000000000001</v>
      </c>
      <c r="S62" s="5">
        <v>87</v>
      </c>
      <c r="T62" s="5">
        <v>47</v>
      </c>
      <c r="U62" s="5">
        <v>33</v>
      </c>
      <c r="V62" s="43">
        <v>5.4</v>
      </c>
    </row>
    <row r="63" spans="1:22" x14ac:dyDescent="0.2">
      <c r="A63" s="1">
        <v>6</v>
      </c>
      <c r="B63" s="1" t="s">
        <v>46</v>
      </c>
      <c r="C63" s="28">
        <v>2.39</v>
      </c>
      <c r="D63" s="1">
        <v>19</v>
      </c>
      <c r="E63" s="26">
        <v>2</v>
      </c>
      <c r="F63" s="26">
        <v>0</v>
      </c>
      <c r="G63" s="21">
        <v>24.117000000000001</v>
      </c>
      <c r="H63" s="22">
        <v>13.532</v>
      </c>
      <c r="I63" s="23">
        <v>24.414999999999999</v>
      </c>
      <c r="J63" s="24">
        <f t="shared" si="1"/>
        <v>2.2160249931085181</v>
      </c>
      <c r="K63" s="24">
        <f t="shared" si="0"/>
        <v>7.2792889912754006</v>
      </c>
      <c r="L63" s="56">
        <v>4.9400000000000004</v>
      </c>
      <c r="M63" s="56">
        <v>5.96</v>
      </c>
      <c r="N63" s="1">
        <v>3.5</v>
      </c>
      <c r="O63" s="28">
        <v>2.3069999999999999</v>
      </c>
      <c r="P63" s="60">
        <v>14.6</v>
      </c>
      <c r="Q63" s="1">
        <v>76</v>
      </c>
      <c r="R63" s="60">
        <v>1.1000000000000001</v>
      </c>
      <c r="S63" s="1">
        <v>87</v>
      </c>
      <c r="T63" s="1">
        <v>47</v>
      </c>
      <c r="U63" s="1">
        <v>33</v>
      </c>
      <c r="V63" s="36">
        <v>5.4</v>
      </c>
    </row>
    <row r="64" spans="1:22" x14ac:dyDescent="0.2">
      <c r="A64" s="1">
        <v>6</v>
      </c>
      <c r="B64" s="1" t="s">
        <v>46</v>
      </c>
      <c r="C64" s="28">
        <v>2.39</v>
      </c>
      <c r="D64" s="1">
        <v>19</v>
      </c>
      <c r="E64" s="1">
        <v>2</v>
      </c>
      <c r="F64" s="1">
        <v>1</v>
      </c>
      <c r="G64" s="11">
        <v>2.7825000000000002</v>
      </c>
      <c r="H64" s="12">
        <v>1.5535000000000001</v>
      </c>
      <c r="I64" s="13">
        <v>2.7934999999999999</v>
      </c>
      <c r="J64" s="18">
        <f t="shared" si="1"/>
        <v>2.2439516129032264</v>
      </c>
      <c r="K64" s="18">
        <f t="shared" si="0"/>
        <v>6.110811175597231</v>
      </c>
      <c r="L64" s="56">
        <v>4.9400000000000004</v>
      </c>
      <c r="M64" s="56">
        <v>5.96</v>
      </c>
      <c r="N64" s="1">
        <v>3.5</v>
      </c>
      <c r="O64" s="28">
        <v>2.3069999999999999</v>
      </c>
      <c r="P64" s="60">
        <v>14.6</v>
      </c>
      <c r="Q64" s="1">
        <v>76</v>
      </c>
      <c r="R64" s="60">
        <v>1.1000000000000001</v>
      </c>
      <c r="S64" s="1">
        <v>87</v>
      </c>
      <c r="T64" s="1">
        <v>47</v>
      </c>
      <c r="U64" s="1">
        <v>33</v>
      </c>
      <c r="V64" s="36">
        <v>5.4</v>
      </c>
    </row>
    <row r="65" spans="1:22" x14ac:dyDescent="0.2">
      <c r="A65" s="1">
        <v>6</v>
      </c>
      <c r="B65" s="1" t="s">
        <v>46</v>
      </c>
      <c r="C65" s="28">
        <v>2.39</v>
      </c>
      <c r="D65" s="1">
        <v>19</v>
      </c>
      <c r="E65" s="1">
        <v>2</v>
      </c>
      <c r="F65" s="1">
        <v>2</v>
      </c>
      <c r="G65" s="11">
        <v>2.5695000000000001</v>
      </c>
      <c r="H65" s="12">
        <v>1.4259999999999999</v>
      </c>
      <c r="I65" s="13">
        <v>2.5794999999999999</v>
      </c>
      <c r="J65" s="18">
        <f t="shared" si="1"/>
        <v>2.2275682704811444</v>
      </c>
      <c r="K65" s="18">
        <f t="shared" si="0"/>
        <v>6.7963066744291094</v>
      </c>
      <c r="L65" s="56">
        <v>4.9400000000000004</v>
      </c>
      <c r="M65" s="56">
        <v>5.96</v>
      </c>
      <c r="N65" s="1">
        <v>3.5</v>
      </c>
      <c r="O65" s="28">
        <v>2.3069999999999999</v>
      </c>
      <c r="P65" s="60">
        <v>14.6</v>
      </c>
      <c r="Q65" s="1">
        <v>76</v>
      </c>
      <c r="R65" s="60">
        <v>1.1000000000000001</v>
      </c>
      <c r="S65" s="1">
        <v>87</v>
      </c>
      <c r="T65" s="1">
        <v>47</v>
      </c>
      <c r="U65" s="1">
        <v>33</v>
      </c>
      <c r="V65" s="36">
        <v>5.4</v>
      </c>
    </row>
    <row r="66" spans="1:22" x14ac:dyDescent="0.2">
      <c r="A66" s="1">
        <v>6</v>
      </c>
      <c r="B66" s="1" t="s">
        <v>46</v>
      </c>
      <c r="C66" s="28">
        <v>2.39</v>
      </c>
      <c r="D66" s="1">
        <v>19</v>
      </c>
      <c r="E66" s="1">
        <v>2</v>
      </c>
      <c r="F66" s="1">
        <v>3</v>
      </c>
      <c r="G66" s="11">
        <v>2.6615000000000002</v>
      </c>
      <c r="H66" s="12">
        <v>1.4804999999999999</v>
      </c>
      <c r="I66" s="13">
        <v>2.6735000000000002</v>
      </c>
      <c r="J66" s="18">
        <f t="shared" si="1"/>
        <v>2.2309304274937132</v>
      </c>
      <c r="K66" s="18">
        <f t="shared" si="0"/>
        <v>6.6556306487986161</v>
      </c>
      <c r="L66" s="56">
        <v>4.9400000000000004</v>
      </c>
      <c r="M66" s="56">
        <v>5.96</v>
      </c>
      <c r="N66" s="1">
        <v>3.5</v>
      </c>
      <c r="O66" s="28">
        <v>2.3069999999999999</v>
      </c>
      <c r="P66" s="60">
        <v>14.6</v>
      </c>
      <c r="Q66" s="1">
        <v>76</v>
      </c>
      <c r="R66" s="60">
        <v>1.1000000000000001</v>
      </c>
      <c r="S66" s="1">
        <v>87</v>
      </c>
      <c r="T66" s="1">
        <v>47</v>
      </c>
      <c r="U66" s="1">
        <v>33</v>
      </c>
      <c r="V66" s="36">
        <v>5.4</v>
      </c>
    </row>
    <row r="67" spans="1:22" ht="16" thickBot="1" x14ac:dyDescent="0.25">
      <c r="A67" s="1">
        <v>6</v>
      </c>
      <c r="B67" s="1" t="s">
        <v>46</v>
      </c>
      <c r="C67" s="29">
        <v>2.39</v>
      </c>
      <c r="D67" s="2">
        <v>19</v>
      </c>
      <c r="E67" s="2">
        <v>2</v>
      </c>
      <c r="F67" s="2">
        <v>4</v>
      </c>
      <c r="G67" s="16">
        <v>2.6985000000000001</v>
      </c>
      <c r="H67" s="10">
        <v>1.4970000000000001</v>
      </c>
      <c r="I67" s="17">
        <v>2.7115</v>
      </c>
      <c r="J67" s="20">
        <f t="shared" si="1"/>
        <v>2.2219020172910664</v>
      </c>
      <c r="K67" s="20">
        <f t="shared" si="0"/>
        <v>7.0333883978633382</v>
      </c>
      <c r="L67" s="57">
        <v>4.9400000000000004</v>
      </c>
      <c r="M67" s="57">
        <v>5.96</v>
      </c>
      <c r="N67" s="2">
        <v>3.5</v>
      </c>
      <c r="O67" s="29">
        <v>2.3069999999999999</v>
      </c>
      <c r="P67" s="61">
        <v>14.6</v>
      </c>
      <c r="Q67" s="2">
        <v>76</v>
      </c>
      <c r="R67" s="61">
        <v>1.1000000000000001</v>
      </c>
      <c r="S67" s="2">
        <v>87</v>
      </c>
      <c r="T67" s="2">
        <v>47</v>
      </c>
      <c r="U67" s="2">
        <v>33</v>
      </c>
      <c r="V67" s="4">
        <v>5.4</v>
      </c>
    </row>
    <row r="68" spans="1:22" x14ac:dyDescent="0.2">
      <c r="A68" s="1">
        <v>7</v>
      </c>
      <c r="B68" s="1" t="s">
        <v>47</v>
      </c>
      <c r="C68" s="28">
        <v>2.38</v>
      </c>
      <c r="D68" s="1">
        <v>12.5</v>
      </c>
      <c r="E68" s="26">
        <v>1</v>
      </c>
      <c r="F68" s="26">
        <v>0</v>
      </c>
      <c r="G68" s="21">
        <v>24.364999999999998</v>
      </c>
      <c r="H68" s="22">
        <v>13.564</v>
      </c>
      <c r="I68" s="23">
        <v>24.574999999999999</v>
      </c>
      <c r="J68" s="24">
        <f t="shared" si="1"/>
        <v>2.2127872127872128</v>
      </c>
      <c r="K68" s="24">
        <f t="shared" si="0"/>
        <v>7.0257473618818072</v>
      </c>
      <c r="L68" s="56">
        <v>5.05</v>
      </c>
      <c r="M68" s="56">
        <v>5.9</v>
      </c>
      <c r="N68" s="1">
        <v>3.1</v>
      </c>
      <c r="O68" s="28">
        <v>2.306</v>
      </c>
      <c r="P68" s="60">
        <v>14.5</v>
      </c>
      <c r="Q68" s="1">
        <v>78</v>
      </c>
      <c r="R68" s="60">
        <v>1.2</v>
      </c>
      <c r="S68" s="1">
        <v>92</v>
      </c>
      <c r="T68" s="1">
        <v>55</v>
      </c>
      <c r="U68" s="1">
        <v>38</v>
      </c>
      <c r="V68" s="36">
        <v>5.8</v>
      </c>
    </row>
    <row r="69" spans="1:22" x14ac:dyDescent="0.2">
      <c r="A69" s="1">
        <v>7</v>
      </c>
      <c r="B69" s="1" t="s">
        <v>47</v>
      </c>
      <c r="C69" s="28">
        <v>2.38</v>
      </c>
      <c r="D69" s="1">
        <v>12.5</v>
      </c>
      <c r="E69" s="1">
        <v>1</v>
      </c>
      <c r="F69" s="1">
        <v>1</v>
      </c>
      <c r="G69" s="11">
        <v>2.798</v>
      </c>
      <c r="H69" s="12">
        <v>1.5694999999999999</v>
      </c>
      <c r="I69" s="13">
        <v>2.827</v>
      </c>
      <c r="J69" s="18">
        <f t="shared" si="1"/>
        <v>2.2250497017892643</v>
      </c>
      <c r="K69" s="18">
        <f t="shared" si="0"/>
        <v>6.5105167315435146</v>
      </c>
      <c r="L69" s="56">
        <v>5.05</v>
      </c>
      <c r="M69" s="56">
        <v>5.9</v>
      </c>
      <c r="N69" s="1">
        <v>3.1</v>
      </c>
      <c r="O69" s="28">
        <v>2.306</v>
      </c>
      <c r="P69" s="60">
        <v>14.5</v>
      </c>
      <c r="Q69" s="1">
        <v>78</v>
      </c>
      <c r="R69" s="60">
        <v>1.2</v>
      </c>
      <c r="S69" s="1">
        <v>92</v>
      </c>
      <c r="T69" s="1">
        <v>55</v>
      </c>
      <c r="U69" s="1">
        <v>38</v>
      </c>
      <c r="V69" s="36">
        <v>5.8</v>
      </c>
    </row>
    <row r="70" spans="1:22" x14ac:dyDescent="0.2">
      <c r="A70" s="1">
        <v>7</v>
      </c>
      <c r="B70" s="1" t="s">
        <v>47</v>
      </c>
      <c r="C70" s="28">
        <v>2.38</v>
      </c>
      <c r="D70" s="1">
        <v>12.5</v>
      </c>
      <c r="E70" s="1">
        <v>1</v>
      </c>
      <c r="F70" s="1">
        <v>2</v>
      </c>
      <c r="G70" s="11">
        <v>2.7069999999999999</v>
      </c>
      <c r="H70" s="12">
        <v>1.5105</v>
      </c>
      <c r="I70" s="13">
        <v>2.7305000000000001</v>
      </c>
      <c r="J70" s="18">
        <f t="shared" si="1"/>
        <v>2.2188524590163929</v>
      </c>
      <c r="K70" s="18">
        <f t="shared" si="0"/>
        <v>6.7709050833448252</v>
      </c>
      <c r="L70" s="56">
        <v>5.05</v>
      </c>
      <c r="M70" s="56">
        <v>5.9</v>
      </c>
      <c r="N70" s="1">
        <v>3.1</v>
      </c>
      <c r="O70" s="28">
        <v>2.306</v>
      </c>
      <c r="P70" s="60">
        <v>14.5</v>
      </c>
      <c r="Q70" s="1">
        <v>78</v>
      </c>
      <c r="R70" s="60">
        <v>1.2</v>
      </c>
      <c r="S70" s="1">
        <v>92</v>
      </c>
      <c r="T70" s="1">
        <v>55</v>
      </c>
      <c r="U70" s="1">
        <v>38</v>
      </c>
      <c r="V70" s="36">
        <v>5.8</v>
      </c>
    </row>
    <row r="71" spans="1:22" x14ac:dyDescent="0.2">
      <c r="A71" s="1">
        <v>7</v>
      </c>
      <c r="B71" s="1" t="s">
        <v>47</v>
      </c>
      <c r="C71" s="28">
        <v>2.38</v>
      </c>
      <c r="D71" s="1">
        <v>12.5</v>
      </c>
      <c r="E71" s="1">
        <v>1</v>
      </c>
      <c r="F71" s="1">
        <v>3</v>
      </c>
      <c r="G71" s="11">
        <v>2.7789999999999999</v>
      </c>
      <c r="H71" s="12">
        <v>1.5509999999999999</v>
      </c>
      <c r="I71" s="13">
        <v>2.8109999999999999</v>
      </c>
      <c r="J71" s="18">
        <f t="shared" si="1"/>
        <v>2.2055555555555553</v>
      </c>
      <c r="K71" s="18">
        <f t="shared" si="0"/>
        <v>7.329598506069102</v>
      </c>
      <c r="L71" s="56">
        <v>5.05</v>
      </c>
      <c r="M71" s="56">
        <v>5.9</v>
      </c>
      <c r="N71" s="1">
        <v>3.1</v>
      </c>
      <c r="O71" s="28">
        <v>2.306</v>
      </c>
      <c r="P71" s="60">
        <v>14.5</v>
      </c>
      <c r="Q71" s="1">
        <v>78</v>
      </c>
      <c r="R71" s="60">
        <v>1.2</v>
      </c>
      <c r="S71" s="1">
        <v>92</v>
      </c>
      <c r="T71" s="1">
        <v>55</v>
      </c>
      <c r="U71" s="1">
        <v>38</v>
      </c>
      <c r="V71" s="36">
        <v>5.8</v>
      </c>
    </row>
    <row r="72" spans="1:22" x14ac:dyDescent="0.2">
      <c r="A72" s="1">
        <v>7</v>
      </c>
      <c r="B72" s="1" t="s">
        <v>47</v>
      </c>
      <c r="C72" s="28">
        <v>2.38</v>
      </c>
      <c r="D72" s="1">
        <v>12.5</v>
      </c>
      <c r="E72" s="5">
        <v>1</v>
      </c>
      <c r="F72" s="5">
        <v>4</v>
      </c>
      <c r="G72" s="14">
        <v>2.8085</v>
      </c>
      <c r="H72" s="9">
        <v>1.5545</v>
      </c>
      <c r="I72" s="15">
        <v>2.8210000000000002</v>
      </c>
      <c r="J72" s="19">
        <f t="shared" si="1"/>
        <v>2.2175286221871295</v>
      </c>
      <c r="K72" s="19">
        <f t="shared" ref="K72:K135" si="2">+IF(G72=0,"",(1-(J72/C72))*100)</f>
        <v>6.8265284795323673</v>
      </c>
      <c r="L72" s="58">
        <v>5.05</v>
      </c>
      <c r="M72" s="58">
        <v>5.9</v>
      </c>
      <c r="N72" s="5">
        <v>3.1</v>
      </c>
      <c r="O72" s="53">
        <v>2.306</v>
      </c>
      <c r="P72" s="62">
        <v>14.5</v>
      </c>
      <c r="Q72" s="5">
        <v>78</v>
      </c>
      <c r="R72" s="62">
        <v>1.2</v>
      </c>
      <c r="S72" s="5">
        <v>92</v>
      </c>
      <c r="T72" s="5">
        <v>55</v>
      </c>
      <c r="U72" s="5">
        <v>38</v>
      </c>
      <c r="V72" s="43">
        <v>5.8</v>
      </c>
    </row>
    <row r="73" spans="1:22" x14ac:dyDescent="0.2">
      <c r="A73" s="1">
        <v>7</v>
      </c>
      <c r="B73" s="1" t="s">
        <v>48</v>
      </c>
      <c r="C73" s="28">
        <v>2.38</v>
      </c>
      <c r="D73" s="1">
        <v>12.5</v>
      </c>
      <c r="E73" s="26">
        <v>2</v>
      </c>
      <c r="F73" s="26">
        <v>0</v>
      </c>
      <c r="G73" s="21">
        <v>24.490500000000001</v>
      </c>
      <c r="H73" s="22">
        <v>13.6075</v>
      </c>
      <c r="I73" s="23">
        <v>24.608899999999998</v>
      </c>
      <c r="J73" s="24">
        <f t="shared" si="1"/>
        <v>2.2261257658116245</v>
      </c>
      <c r="K73" s="24">
        <f t="shared" si="2"/>
        <v>6.4653039574947613</v>
      </c>
      <c r="L73" s="56">
        <v>5.05</v>
      </c>
      <c r="M73" s="56">
        <v>5.9</v>
      </c>
      <c r="N73" s="1">
        <v>3.1</v>
      </c>
      <c r="O73" s="28">
        <v>2.306</v>
      </c>
      <c r="P73" s="60">
        <v>14.5</v>
      </c>
      <c r="Q73" s="1">
        <v>78</v>
      </c>
      <c r="R73" s="60">
        <v>1.2</v>
      </c>
      <c r="S73" s="1">
        <v>92</v>
      </c>
      <c r="T73" s="1">
        <v>55</v>
      </c>
      <c r="U73" s="1">
        <v>38</v>
      </c>
      <c r="V73" s="36">
        <v>5.8</v>
      </c>
    </row>
    <row r="74" spans="1:22" x14ac:dyDescent="0.2">
      <c r="A74" s="1">
        <v>7</v>
      </c>
      <c r="B74" s="1" t="s">
        <v>48</v>
      </c>
      <c r="C74" s="28">
        <v>2.38</v>
      </c>
      <c r="D74" s="1">
        <v>12.5</v>
      </c>
      <c r="E74" s="1">
        <v>2</v>
      </c>
      <c r="F74" s="1">
        <v>1</v>
      </c>
      <c r="G74" s="11">
        <v>2.7770000000000001</v>
      </c>
      <c r="H74" s="12">
        <v>1.5595000000000001</v>
      </c>
      <c r="I74" s="13">
        <v>2.806</v>
      </c>
      <c r="J74" s="18">
        <f t="shared" ref="J74:J137" si="3">+IF(G74=0,"",G74/(I74-H74))</f>
        <v>2.2278379462494988</v>
      </c>
      <c r="K74" s="18">
        <f t="shared" si="2"/>
        <v>6.3933636029622321</v>
      </c>
      <c r="L74" s="56">
        <v>5.05</v>
      </c>
      <c r="M74" s="56">
        <v>5.9</v>
      </c>
      <c r="N74" s="1">
        <v>3.1</v>
      </c>
      <c r="O74" s="28">
        <v>2.306</v>
      </c>
      <c r="P74" s="60">
        <v>14.5</v>
      </c>
      <c r="Q74" s="1">
        <v>78</v>
      </c>
      <c r="R74" s="60">
        <v>1.2</v>
      </c>
      <c r="S74" s="1">
        <v>92</v>
      </c>
      <c r="T74" s="1">
        <v>55</v>
      </c>
      <c r="U74" s="1">
        <v>38</v>
      </c>
      <c r="V74" s="36">
        <v>5.8</v>
      </c>
    </row>
    <row r="75" spans="1:22" x14ac:dyDescent="0.2">
      <c r="A75" s="1">
        <v>7</v>
      </c>
      <c r="B75" s="1" t="s">
        <v>48</v>
      </c>
      <c r="C75" s="28">
        <v>2.38</v>
      </c>
      <c r="D75" s="1">
        <v>12.5</v>
      </c>
      <c r="E75" s="1">
        <v>2</v>
      </c>
      <c r="F75" s="1">
        <v>2</v>
      </c>
      <c r="G75" s="11">
        <v>2.7469999999999999</v>
      </c>
      <c r="H75" s="12">
        <v>1.5409999999999999</v>
      </c>
      <c r="I75" s="13">
        <v>2.7845</v>
      </c>
      <c r="J75" s="18">
        <f t="shared" si="3"/>
        <v>2.2090872537193404</v>
      </c>
      <c r="K75" s="18">
        <f t="shared" si="2"/>
        <v>7.1812078269184676</v>
      </c>
      <c r="L75" s="56">
        <v>5.05</v>
      </c>
      <c r="M75" s="56">
        <v>5.9</v>
      </c>
      <c r="N75" s="1">
        <v>3.1</v>
      </c>
      <c r="O75" s="28">
        <v>2.306</v>
      </c>
      <c r="P75" s="60">
        <v>14.5</v>
      </c>
      <c r="Q75" s="1">
        <v>78</v>
      </c>
      <c r="R75" s="60">
        <v>1.2</v>
      </c>
      <c r="S75" s="1">
        <v>92</v>
      </c>
      <c r="T75" s="1">
        <v>55</v>
      </c>
      <c r="U75" s="1">
        <v>38</v>
      </c>
      <c r="V75" s="36">
        <v>5.8</v>
      </c>
    </row>
    <row r="76" spans="1:22" x14ac:dyDescent="0.2">
      <c r="A76" s="1">
        <v>7</v>
      </c>
      <c r="B76" s="1" t="s">
        <v>48</v>
      </c>
      <c r="C76" s="28">
        <v>2.38</v>
      </c>
      <c r="D76" s="1">
        <v>12.5</v>
      </c>
      <c r="E76" s="1">
        <v>2</v>
      </c>
      <c r="F76" s="1">
        <v>3</v>
      </c>
      <c r="G76" s="11">
        <v>2.8105000000000002</v>
      </c>
      <c r="H76" s="12">
        <v>1.5674999999999999</v>
      </c>
      <c r="I76" s="13">
        <v>2.8294999999999999</v>
      </c>
      <c r="J76" s="18">
        <f t="shared" si="3"/>
        <v>2.2270206022187007</v>
      </c>
      <c r="K76" s="18">
        <f t="shared" si="2"/>
        <v>6.4277057891302221</v>
      </c>
      <c r="L76" s="56">
        <v>5.05</v>
      </c>
      <c r="M76" s="56">
        <v>5.9</v>
      </c>
      <c r="N76" s="1">
        <v>3.1</v>
      </c>
      <c r="O76" s="28">
        <v>2.306</v>
      </c>
      <c r="P76" s="60">
        <v>14.5</v>
      </c>
      <c r="Q76" s="1">
        <v>78</v>
      </c>
      <c r="R76" s="60">
        <v>1.2</v>
      </c>
      <c r="S76" s="1">
        <v>92</v>
      </c>
      <c r="T76" s="1">
        <v>55</v>
      </c>
      <c r="U76" s="1">
        <v>38</v>
      </c>
      <c r="V76" s="36">
        <v>5.8</v>
      </c>
    </row>
    <row r="77" spans="1:22" ht="16" thickBot="1" x14ac:dyDescent="0.25">
      <c r="A77" s="1">
        <v>7</v>
      </c>
      <c r="B77" s="1" t="s">
        <v>48</v>
      </c>
      <c r="C77" s="29">
        <v>2.38</v>
      </c>
      <c r="D77" s="2">
        <v>12.5</v>
      </c>
      <c r="E77" s="2">
        <v>2</v>
      </c>
      <c r="F77" s="2">
        <v>4</v>
      </c>
      <c r="G77" s="16">
        <v>2.7694999999999999</v>
      </c>
      <c r="H77" s="10">
        <v>1.5455000000000001</v>
      </c>
      <c r="I77" s="17">
        <v>2.7919999999999998</v>
      </c>
      <c r="J77" s="20">
        <f t="shared" si="3"/>
        <v>2.2218210990774172</v>
      </c>
      <c r="K77" s="20">
        <f t="shared" si="2"/>
        <v>6.646172307671538</v>
      </c>
      <c r="L77" s="57">
        <v>5.05</v>
      </c>
      <c r="M77" s="57">
        <v>5.9</v>
      </c>
      <c r="N77" s="2">
        <v>3.1</v>
      </c>
      <c r="O77" s="29">
        <v>2.306</v>
      </c>
      <c r="P77" s="61">
        <v>14.5</v>
      </c>
      <c r="Q77" s="2">
        <v>78</v>
      </c>
      <c r="R77" s="61">
        <v>1.2</v>
      </c>
      <c r="S77" s="2">
        <v>92</v>
      </c>
      <c r="T77" s="2">
        <v>55</v>
      </c>
      <c r="U77" s="2">
        <v>38</v>
      </c>
      <c r="V77" s="4">
        <v>5.8</v>
      </c>
    </row>
    <row r="78" spans="1:22" x14ac:dyDescent="0.2">
      <c r="A78" s="1">
        <v>8</v>
      </c>
      <c r="B78" s="1" t="s">
        <v>49</v>
      </c>
      <c r="C78" s="28">
        <v>2.375</v>
      </c>
      <c r="D78" s="1">
        <v>19</v>
      </c>
      <c r="E78" s="26">
        <v>1</v>
      </c>
      <c r="F78" s="26">
        <v>0</v>
      </c>
      <c r="G78" s="21">
        <v>24.139500000000002</v>
      </c>
      <c r="H78" s="22">
        <v>13.436999999999999</v>
      </c>
      <c r="I78" s="23">
        <v>24.428999999999998</v>
      </c>
      <c r="J78" s="24">
        <f t="shared" si="3"/>
        <v>2.1960971615720526</v>
      </c>
      <c r="K78" s="24">
        <f t="shared" si="2"/>
        <v>7.5327510917030498</v>
      </c>
      <c r="L78" s="56">
        <v>5.24</v>
      </c>
      <c r="M78" s="56">
        <v>6.14</v>
      </c>
      <c r="N78" s="1">
        <v>3.2</v>
      </c>
      <c r="O78" s="28">
        <v>2.2989999999999999</v>
      </c>
      <c r="P78" s="60">
        <v>15</v>
      </c>
      <c r="Q78" s="1">
        <v>78</v>
      </c>
      <c r="R78" s="60">
        <v>1</v>
      </c>
      <c r="S78" s="1">
        <v>88</v>
      </c>
      <c r="T78" s="1">
        <v>47</v>
      </c>
      <c r="U78" s="1">
        <v>32</v>
      </c>
      <c r="V78" s="36">
        <v>5</v>
      </c>
    </row>
    <row r="79" spans="1:22" x14ac:dyDescent="0.2">
      <c r="A79" s="1">
        <v>8</v>
      </c>
      <c r="B79" s="1" t="s">
        <v>49</v>
      </c>
      <c r="C79" s="28">
        <v>2.375</v>
      </c>
      <c r="D79" s="1">
        <v>19</v>
      </c>
      <c r="E79" s="1">
        <v>1</v>
      </c>
      <c r="F79" s="1">
        <v>1</v>
      </c>
      <c r="G79" s="11">
        <v>2.8294999999999999</v>
      </c>
      <c r="H79" s="12">
        <v>1.5854999999999999</v>
      </c>
      <c r="I79" s="13">
        <v>2.8605</v>
      </c>
      <c r="J79" s="18">
        <f t="shared" si="3"/>
        <v>2.2192156862745094</v>
      </c>
      <c r="K79" s="18">
        <f t="shared" si="2"/>
        <v>6.5593395252838143</v>
      </c>
      <c r="L79" s="56">
        <v>5.24</v>
      </c>
      <c r="M79" s="56">
        <v>6.14</v>
      </c>
      <c r="N79" s="1">
        <v>3.2</v>
      </c>
      <c r="O79" s="28">
        <v>2.2989999999999999</v>
      </c>
      <c r="P79" s="60">
        <v>15</v>
      </c>
      <c r="Q79" s="1">
        <v>78</v>
      </c>
      <c r="R79" s="60">
        <v>1</v>
      </c>
      <c r="S79" s="1">
        <v>88</v>
      </c>
      <c r="T79" s="1">
        <v>47</v>
      </c>
      <c r="U79" s="1">
        <v>32</v>
      </c>
      <c r="V79" s="36">
        <v>5</v>
      </c>
    </row>
    <row r="80" spans="1:22" x14ac:dyDescent="0.2">
      <c r="A80" s="1">
        <v>8</v>
      </c>
      <c r="B80" s="1" t="s">
        <v>49</v>
      </c>
      <c r="C80" s="28">
        <v>2.375</v>
      </c>
      <c r="D80" s="1">
        <v>19</v>
      </c>
      <c r="E80" s="1">
        <v>1</v>
      </c>
      <c r="F80" s="1">
        <v>2</v>
      </c>
      <c r="G80" s="11">
        <v>2.7839999999999998</v>
      </c>
      <c r="H80" s="12">
        <v>1.556</v>
      </c>
      <c r="I80" s="13">
        <v>2.8035000000000001</v>
      </c>
      <c r="J80" s="18">
        <f t="shared" si="3"/>
        <v>2.2316633266533064</v>
      </c>
      <c r="K80" s="18">
        <f t="shared" si="2"/>
        <v>6.035228351439736</v>
      </c>
      <c r="L80" s="56">
        <v>5.24</v>
      </c>
      <c r="M80" s="56">
        <v>6.14</v>
      </c>
      <c r="N80" s="1">
        <v>3.2</v>
      </c>
      <c r="O80" s="28">
        <v>2.2989999999999999</v>
      </c>
      <c r="P80" s="60">
        <v>15</v>
      </c>
      <c r="Q80" s="1">
        <v>78</v>
      </c>
      <c r="R80" s="60">
        <v>1</v>
      </c>
      <c r="S80" s="1">
        <v>88</v>
      </c>
      <c r="T80" s="1">
        <v>47</v>
      </c>
      <c r="U80" s="1">
        <v>32</v>
      </c>
      <c r="V80" s="36">
        <v>5</v>
      </c>
    </row>
    <row r="81" spans="1:22" x14ac:dyDescent="0.2">
      <c r="A81" s="1">
        <v>8</v>
      </c>
      <c r="B81" s="1" t="s">
        <v>49</v>
      </c>
      <c r="C81" s="28">
        <v>2.375</v>
      </c>
      <c r="D81" s="1">
        <v>19</v>
      </c>
      <c r="E81" s="1">
        <v>1</v>
      </c>
      <c r="F81" s="1">
        <v>3</v>
      </c>
      <c r="G81" s="11">
        <v>2.8010000000000002</v>
      </c>
      <c r="H81" s="12">
        <v>1.5654999999999999</v>
      </c>
      <c r="I81" s="13">
        <v>2.8239999999999998</v>
      </c>
      <c r="J81" s="18">
        <f t="shared" si="3"/>
        <v>2.2256654747715539</v>
      </c>
      <c r="K81" s="18">
        <f t="shared" si="2"/>
        <v>6.2877694833029967</v>
      </c>
      <c r="L81" s="56">
        <v>5.24</v>
      </c>
      <c r="M81" s="56">
        <v>6.14</v>
      </c>
      <c r="N81" s="1">
        <v>3.2</v>
      </c>
      <c r="O81" s="28">
        <v>2.2989999999999999</v>
      </c>
      <c r="P81" s="60">
        <v>15</v>
      </c>
      <c r="Q81" s="1">
        <v>78</v>
      </c>
      <c r="R81" s="60">
        <v>1</v>
      </c>
      <c r="S81" s="1">
        <v>88</v>
      </c>
      <c r="T81" s="1">
        <v>47</v>
      </c>
      <c r="U81" s="1">
        <v>32</v>
      </c>
      <c r="V81" s="36">
        <v>5</v>
      </c>
    </row>
    <row r="82" spans="1:22" x14ac:dyDescent="0.2">
      <c r="A82" s="1">
        <v>8</v>
      </c>
      <c r="B82" s="1" t="s">
        <v>49</v>
      </c>
      <c r="C82" s="28">
        <v>2.375</v>
      </c>
      <c r="D82" s="1">
        <v>19</v>
      </c>
      <c r="E82" s="5">
        <v>1</v>
      </c>
      <c r="F82" s="5">
        <v>4</v>
      </c>
      <c r="G82" s="14">
        <v>2.806</v>
      </c>
      <c r="H82" s="9">
        <v>1.5674999999999999</v>
      </c>
      <c r="I82" s="15">
        <v>2.8304999999999998</v>
      </c>
      <c r="J82" s="19">
        <f t="shared" si="3"/>
        <v>2.2216943784639747</v>
      </c>
      <c r="K82" s="19">
        <f t="shared" si="2"/>
        <v>6.4549735383589653</v>
      </c>
      <c r="L82" s="58">
        <v>5.24</v>
      </c>
      <c r="M82" s="58">
        <v>6.14</v>
      </c>
      <c r="N82" s="5">
        <v>3.2</v>
      </c>
      <c r="O82" s="53">
        <v>2.2989999999999999</v>
      </c>
      <c r="P82" s="62">
        <v>15</v>
      </c>
      <c r="Q82" s="5">
        <v>78</v>
      </c>
      <c r="R82" s="62">
        <v>1</v>
      </c>
      <c r="S82" s="5">
        <v>88</v>
      </c>
      <c r="T82" s="5">
        <v>47</v>
      </c>
      <c r="U82" s="5">
        <v>32</v>
      </c>
      <c r="V82" s="43">
        <v>5</v>
      </c>
    </row>
    <row r="83" spans="1:22" x14ac:dyDescent="0.2">
      <c r="A83" s="1">
        <v>8</v>
      </c>
      <c r="B83" s="1" t="s">
        <v>50</v>
      </c>
      <c r="C83" s="28">
        <v>2.375</v>
      </c>
      <c r="D83" s="1">
        <v>19</v>
      </c>
      <c r="E83" s="26">
        <v>2</v>
      </c>
      <c r="F83" s="26">
        <v>0</v>
      </c>
      <c r="G83" s="21">
        <v>24.106999999999999</v>
      </c>
      <c r="H83" s="22">
        <v>13.3895</v>
      </c>
      <c r="I83" s="23">
        <v>24.349</v>
      </c>
      <c r="J83" s="24">
        <f t="shared" si="3"/>
        <v>2.1996441443496511</v>
      </c>
      <c r="K83" s="24">
        <f t="shared" si="2"/>
        <v>7.3834044484357486</v>
      </c>
      <c r="L83" s="56">
        <v>5.24</v>
      </c>
      <c r="M83" s="56">
        <v>6.14</v>
      </c>
      <c r="N83" s="1">
        <v>3.2</v>
      </c>
      <c r="O83" s="28">
        <v>2.2989999999999999</v>
      </c>
      <c r="P83" s="60">
        <v>15</v>
      </c>
      <c r="Q83" s="1">
        <v>78</v>
      </c>
      <c r="R83" s="60">
        <v>1</v>
      </c>
      <c r="S83" s="1">
        <v>88</v>
      </c>
      <c r="T83" s="1">
        <v>47</v>
      </c>
      <c r="U83" s="1">
        <v>32</v>
      </c>
      <c r="V83" s="36">
        <v>5</v>
      </c>
    </row>
    <row r="84" spans="1:22" x14ac:dyDescent="0.2">
      <c r="A84" s="1">
        <v>8</v>
      </c>
      <c r="B84" s="1" t="s">
        <v>50</v>
      </c>
      <c r="C84" s="28">
        <v>2.375</v>
      </c>
      <c r="D84" s="1">
        <v>19</v>
      </c>
      <c r="E84" s="1">
        <v>2</v>
      </c>
      <c r="F84" s="1">
        <v>1</v>
      </c>
      <c r="G84" s="11">
        <v>2.7244999999999999</v>
      </c>
      <c r="H84" s="12">
        <v>1.5169999999999999</v>
      </c>
      <c r="I84" s="13">
        <v>2.7404999999999999</v>
      </c>
      <c r="J84" s="18">
        <f t="shared" si="3"/>
        <v>2.2268083367388636</v>
      </c>
      <c r="K84" s="18">
        <f t="shared" si="2"/>
        <v>6.2396489794162679</v>
      </c>
      <c r="L84" s="56">
        <v>5.24</v>
      </c>
      <c r="M84" s="56">
        <v>6.14</v>
      </c>
      <c r="N84" s="1">
        <v>3.2</v>
      </c>
      <c r="O84" s="28">
        <v>2.2989999999999999</v>
      </c>
      <c r="P84" s="60">
        <v>15</v>
      </c>
      <c r="Q84" s="1">
        <v>78</v>
      </c>
      <c r="R84" s="60">
        <v>1</v>
      </c>
      <c r="S84" s="1">
        <v>88</v>
      </c>
      <c r="T84" s="1">
        <v>47</v>
      </c>
      <c r="U84" s="1">
        <v>32</v>
      </c>
      <c r="V84" s="36">
        <v>5</v>
      </c>
    </row>
    <row r="85" spans="1:22" x14ac:dyDescent="0.2">
      <c r="A85" s="1">
        <v>8</v>
      </c>
      <c r="B85" s="1" t="s">
        <v>50</v>
      </c>
      <c r="C85" s="28">
        <v>2.375</v>
      </c>
      <c r="D85" s="1">
        <v>19</v>
      </c>
      <c r="E85" s="1">
        <v>2</v>
      </c>
      <c r="F85" s="1">
        <v>2</v>
      </c>
      <c r="G85" s="11">
        <v>2.8134999999999999</v>
      </c>
      <c r="H85" s="12">
        <v>1.5705</v>
      </c>
      <c r="I85" s="13">
        <v>2.8330000000000002</v>
      </c>
      <c r="J85" s="18">
        <f t="shared" si="3"/>
        <v>2.2285148514851483</v>
      </c>
      <c r="K85" s="18">
        <f t="shared" si="2"/>
        <v>6.1677957269411277</v>
      </c>
      <c r="L85" s="56">
        <v>5.24</v>
      </c>
      <c r="M85" s="56">
        <v>6.14</v>
      </c>
      <c r="N85" s="1">
        <v>3.2</v>
      </c>
      <c r="O85" s="28">
        <v>2.2989999999999999</v>
      </c>
      <c r="P85" s="60">
        <v>15</v>
      </c>
      <c r="Q85" s="1">
        <v>78</v>
      </c>
      <c r="R85" s="60">
        <v>1</v>
      </c>
      <c r="S85" s="1">
        <v>88</v>
      </c>
      <c r="T85" s="1">
        <v>47</v>
      </c>
      <c r="U85" s="1">
        <v>32</v>
      </c>
      <c r="V85" s="36">
        <v>5</v>
      </c>
    </row>
    <row r="86" spans="1:22" x14ac:dyDescent="0.2">
      <c r="A86" s="1">
        <v>8</v>
      </c>
      <c r="B86" s="1" t="s">
        <v>50</v>
      </c>
      <c r="C86" s="28">
        <v>2.375</v>
      </c>
      <c r="D86" s="1">
        <v>19</v>
      </c>
      <c r="E86" s="1">
        <v>2</v>
      </c>
      <c r="F86" s="1">
        <v>3</v>
      </c>
      <c r="G86" s="11">
        <v>2.8029999999999999</v>
      </c>
      <c r="H86" s="12">
        <v>1.5714999999999999</v>
      </c>
      <c r="I86" s="13">
        <v>2.8279999999999998</v>
      </c>
      <c r="J86" s="18">
        <f t="shared" si="3"/>
        <v>2.2307998408276961</v>
      </c>
      <c r="K86" s="18">
        <f t="shared" si="2"/>
        <v>6.0715856493601672</v>
      </c>
      <c r="L86" s="56">
        <v>5.24</v>
      </c>
      <c r="M86" s="56">
        <v>6.14</v>
      </c>
      <c r="N86" s="1">
        <v>3.2</v>
      </c>
      <c r="O86" s="28">
        <v>2.2989999999999999</v>
      </c>
      <c r="P86" s="60">
        <v>15</v>
      </c>
      <c r="Q86" s="1">
        <v>78</v>
      </c>
      <c r="R86" s="60">
        <v>1</v>
      </c>
      <c r="S86" s="1">
        <v>88</v>
      </c>
      <c r="T86" s="1">
        <v>47</v>
      </c>
      <c r="U86" s="1">
        <v>32</v>
      </c>
      <c r="V86" s="36">
        <v>5</v>
      </c>
    </row>
    <row r="87" spans="1:22" ht="16" thickBot="1" x14ac:dyDescent="0.25">
      <c r="A87" s="1">
        <v>8</v>
      </c>
      <c r="B87" s="1" t="s">
        <v>50</v>
      </c>
      <c r="C87" s="29">
        <v>2.375</v>
      </c>
      <c r="D87" s="2">
        <v>19</v>
      </c>
      <c r="E87" s="2">
        <v>2</v>
      </c>
      <c r="F87" s="2">
        <v>4</v>
      </c>
      <c r="G87" s="16">
        <v>2.7654999999999998</v>
      </c>
      <c r="H87" s="10">
        <v>1.538</v>
      </c>
      <c r="I87" s="17">
        <v>2.7850000000000001</v>
      </c>
      <c r="J87" s="20">
        <f t="shared" si="3"/>
        <v>2.2177225340817959</v>
      </c>
      <c r="K87" s="20">
        <f t="shared" si="2"/>
        <v>6.6222090912928078</v>
      </c>
      <c r="L87" s="57">
        <v>5.24</v>
      </c>
      <c r="M87" s="57">
        <v>6.14</v>
      </c>
      <c r="N87" s="2">
        <v>3.2</v>
      </c>
      <c r="O87" s="29">
        <v>2.2989999999999999</v>
      </c>
      <c r="P87" s="61">
        <v>15</v>
      </c>
      <c r="Q87" s="2">
        <v>78</v>
      </c>
      <c r="R87" s="61">
        <v>1</v>
      </c>
      <c r="S87" s="2">
        <v>88</v>
      </c>
      <c r="T87" s="2">
        <v>47</v>
      </c>
      <c r="U87" s="2">
        <v>32</v>
      </c>
      <c r="V87" s="4">
        <v>5</v>
      </c>
    </row>
    <row r="88" spans="1:22" x14ac:dyDescent="0.2">
      <c r="A88" s="1">
        <v>9</v>
      </c>
      <c r="B88" s="1" t="s">
        <v>51</v>
      </c>
      <c r="C88" s="28">
        <v>2.3839999999999999</v>
      </c>
      <c r="D88" s="1">
        <v>12.5</v>
      </c>
      <c r="E88" s="26">
        <v>1</v>
      </c>
      <c r="F88" s="26">
        <v>0</v>
      </c>
      <c r="G88" s="21">
        <v>23.111000000000001</v>
      </c>
      <c r="H88" s="22">
        <v>12.8185</v>
      </c>
      <c r="I88" s="23">
        <v>23.335000000000001</v>
      </c>
      <c r="J88" s="24">
        <f t="shared" si="3"/>
        <v>2.197594256644321</v>
      </c>
      <c r="K88" s="24">
        <f t="shared" si="2"/>
        <v>7.8190328588791491</v>
      </c>
      <c r="L88" s="56">
        <v>5.09</v>
      </c>
      <c r="M88" s="56">
        <v>6</v>
      </c>
      <c r="N88" s="1">
        <v>3.4</v>
      </c>
      <c r="O88" s="28">
        <v>2.302</v>
      </c>
      <c r="P88" s="60">
        <v>14.9</v>
      </c>
      <c r="Q88" s="1">
        <v>77</v>
      </c>
      <c r="R88" s="60">
        <v>1.2</v>
      </c>
      <c r="S88" s="1">
        <v>93</v>
      </c>
      <c r="T88" s="1">
        <v>60</v>
      </c>
      <c r="U88" s="1">
        <v>41</v>
      </c>
      <c r="V88" s="36">
        <v>5.9</v>
      </c>
    </row>
    <row r="89" spans="1:22" x14ac:dyDescent="0.2">
      <c r="A89" s="1">
        <v>9</v>
      </c>
      <c r="B89" s="1" t="s">
        <v>51</v>
      </c>
      <c r="C89" s="28">
        <v>2.3839999999999999</v>
      </c>
      <c r="D89" s="1">
        <v>12.5</v>
      </c>
      <c r="E89" s="1">
        <v>1</v>
      </c>
      <c r="F89" s="1">
        <v>1</v>
      </c>
      <c r="G89" s="11">
        <v>2.8140000000000001</v>
      </c>
      <c r="H89" s="12">
        <v>1.5629999999999999</v>
      </c>
      <c r="I89" s="13">
        <v>2.82</v>
      </c>
      <c r="J89" s="18">
        <f t="shared" si="3"/>
        <v>2.2386634844868736</v>
      </c>
      <c r="K89" s="18">
        <f t="shared" si="2"/>
        <v>6.0963303487049592</v>
      </c>
      <c r="L89" s="56">
        <v>5.09</v>
      </c>
      <c r="M89" s="56">
        <v>6</v>
      </c>
      <c r="N89" s="1">
        <v>3.4</v>
      </c>
      <c r="O89" s="28">
        <v>2.302</v>
      </c>
      <c r="P89" s="60">
        <v>14.9</v>
      </c>
      <c r="Q89" s="1">
        <v>77</v>
      </c>
      <c r="R89" s="60">
        <v>1.2</v>
      </c>
      <c r="S89" s="1">
        <v>93</v>
      </c>
      <c r="T89" s="1">
        <v>60</v>
      </c>
      <c r="U89" s="1">
        <v>41</v>
      </c>
      <c r="V89" s="36">
        <v>5.9</v>
      </c>
    </row>
    <row r="90" spans="1:22" x14ac:dyDescent="0.2">
      <c r="A90" s="1">
        <v>9</v>
      </c>
      <c r="B90" s="1" t="s">
        <v>51</v>
      </c>
      <c r="C90" s="28">
        <v>2.3839999999999999</v>
      </c>
      <c r="D90" s="1">
        <v>12.5</v>
      </c>
      <c r="E90" s="1">
        <v>1</v>
      </c>
      <c r="F90" s="1">
        <v>2</v>
      </c>
      <c r="G90" s="11">
        <v>2.8690000000000002</v>
      </c>
      <c r="H90" s="12">
        <v>1.5925</v>
      </c>
      <c r="I90" s="13">
        <v>2.8734999999999999</v>
      </c>
      <c r="J90" s="18">
        <f t="shared" si="3"/>
        <v>2.2396565183450434</v>
      </c>
      <c r="K90" s="18">
        <f t="shared" si="2"/>
        <v>6.0546762439159574</v>
      </c>
      <c r="L90" s="56">
        <v>5.09</v>
      </c>
      <c r="M90" s="56">
        <v>6</v>
      </c>
      <c r="N90" s="1">
        <v>3.4</v>
      </c>
      <c r="O90" s="28">
        <v>2.302</v>
      </c>
      <c r="P90" s="60">
        <v>14.9</v>
      </c>
      <c r="Q90" s="1">
        <v>77</v>
      </c>
      <c r="R90" s="60">
        <v>1.2</v>
      </c>
      <c r="S90" s="1">
        <v>93</v>
      </c>
      <c r="T90" s="1">
        <v>60</v>
      </c>
      <c r="U90" s="1">
        <v>41</v>
      </c>
      <c r="V90" s="36">
        <v>5.9</v>
      </c>
    </row>
    <row r="91" spans="1:22" x14ac:dyDescent="0.2">
      <c r="A91" s="1">
        <v>9</v>
      </c>
      <c r="B91" s="1" t="s">
        <v>51</v>
      </c>
      <c r="C91" s="28">
        <v>2.3839999999999999</v>
      </c>
      <c r="D91" s="1">
        <v>12.5</v>
      </c>
      <c r="E91" s="1">
        <v>1</v>
      </c>
      <c r="F91" s="1">
        <v>3</v>
      </c>
      <c r="G91" s="11">
        <v>2.84</v>
      </c>
      <c r="H91" s="12">
        <v>1.5665</v>
      </c>
      <c r="I91" s="13">
        <v>2.8460000000000001</v>
      </c>
      <c r="J91" s="18">
        <f t="shared" si="3"/>
        <v>2.2196170379054316</v>
      </c>
      <c r="K91" s="18">
        <f t="shared" si="2"/>
        <v>6.8952584771211578</v>
      </c>
      <c r="L91" s="56">
        <v>5.09</v>
      </c>
      <c r="M91" s="56">
        <v>6</v>
      </c>
      <c r="N91" s="1">
        <v>3.4</v>
      </c>
      <c r="O91" s="28">
        <v>2.302</v>
      </c>
      <c r="P91" s="60">
        <v>14.9</v>
      </c>
      <c r="Q91" s="1">
        <v>77</v>
      </c>
      <c r="R91" s="60">
        <v>1.2</v>
      </c>
      <c r="S91" s="1">
        <v>93</v>
      </c>
      <c r="T91" s="1">
        <v>60</v>
      </c>
      <c r="U91" s="1">
        <v>41</v>
      </c>
      <c r="V91" s="36">
        <v>5.9</v>
      </c>
    </row>
    <row r="92" spans="1:22" x14ac:dyDescent="0.2">
      <c r="A92" s="1">
        <v>9</v>
      </c>
      <c r="B92" s="1" t="s">
        <v>51</v>
      </c>
      <c r="C92" s="28">
        <v>2.3839999999999999</v>
      </c>
      <c r="D92" s="1">
        <v>12.5</v>
      </c>
      <c r="E92" s="5">
        <v>1</v>
      </c>
      <c r="F92" s="5">
        <v>4</v>
      </c>
      <c r="G92" s="14">
        <v>2.8035000000000001</v>
      </c>
      <c r="H92" s="9">
        <v>1.5545</v>
      </c>
      <c r="I92" s="15">
        <v>2.8119999999999998</v>
      </c>
      <c r="J92" s="19">
        <f t="shared" si="3"/>
        <v>2.2294234592445332</v>
      </c>
      <c r="K92" s="19">
        <f t="shared" si="2"/>
        <v>6.4839153001454157</v>
      </c>
      <c r="L92" s="58">
        <v>5.09</v>
      </c>
      <c r="M92" s="58">
        <v>6</v>
      </c>
      <c r="N92" s="5">
        <v>3.4</v>
      </c>
      <c r="O92" s="53">
        <v>2.302</v>
      </c>
      <c r="P92" s="62">
        <v>14.9</v>
      </c>
      <c r="Q92" s="5">
        <v>77</v>
      </c>
      <c r="R92" s="62">
        <v>1.2</v>
      </c>
      <c r="S92" s="5">
        <v>93</v>
      </c>
      <c r="T92" s="5">
        <v>60</v>
      </c>
      <c r="U92" s="5">
        <v>41</v>
      </c>
      <c r="V92" s="43">
        <v>5.9</v>
      </c>
    </row>
    <row r="93" spans="1:22" x14ac:dyDescent="0.2">
      <c r="A93" s="1">
        <v>9</v>
      </c>
      <c r="B93" s="1" t="s">
        <v>52</v>
      </c>
      <c r="C93" s="28">
        <v>2.3839999999999999</v>
      </c>
      <c r="D93" s="1">
        <v>12.5</v>
      </c>
      <c r="E93" s="26">
        <v>2</v>
      </c>
      <c r="F93" s="26">
        <v>0</v>
      </c>
      <c r="G93" s="21">
        <v>24.037500000000001</v>
      </c>
      <c r="H93" s="22">
        <v>13.334</v>
      </c>
      <c r="I93" s="23">
        <v>24.265499999999999</v>
      </c>
      <c r="J93" s="24">
        <f t="shared" si="3"/>
        <v>2.1989205507020997</v>
      </c>
      <c r="K93" s="24">
        <f t="shared" si="2"/>
        <v>7.7633997188716553</v>
      </c>
      <c r="L93" s="56">
        <v>5.09</v>
      </c>
      <c r="M93" s="56">
        <v>6</v>
      </c>
      <c r="N93" s="1">
        <v>3.4</v>
      </c>
      <c r="O93" s="28">
        <v>2.302</v>
      </c>
      <c r="P93" s="60">
        <v>14.9</v>
      </c>
      <c r="Q93" s="1">
        <v>77</v>
      </c>
      <c r="R93" s="60">
        <v>1.2</v>
      </c>
      <c r="S93" s="1">
        <v>93</v>
      </c>
      <c r="T93" s="1">
        <v>60</v>
      </c>
      <c r="U93" s="1">
        <v>41</v>
      </c>
      <c r="V93" s="36">
        <v>5.9</v>
      </c>
    </row>
    <row r="94" spans="1:22" x14ac:dyDescent="0.2">
      <c r="A94" s="1">
        <v>9</v>
      </c>
      <c r="B94" s="1" t="s">
        <v>52</v>
      </c>
      <c r="C94" s="28">
        <v>2.3839999999999999</v>
      </c>
      <c r="D94" s="1">
        <v>12.5</v>
      </c>
      <c r="E94" s="1">
        <v>2</v>
      </c>
      <c r="F94" s="1">
        <v>1</v>
      </c>
      <c r="G94" s="11">
        <v>2.8254999999999999</v>
      </c>
      <c r="H94" s="12">
        <v>1.57</v>
      </c>
      <c r="I94" s="13">
        <v>2.8315000000000001</v>
      </c>
      <c r="J94" s="18">
        <f t="shared" si="3"/>
        <v>2.2397938961553705</v>
      </c>
      <c r="K94" s="18">
        <f t="shared" si="2"/>
        <v>6.0489137518720426</v>
      </c>
      <c r="L94" s="56">
        <v>5.09</v>
      </c>
      <c r="M94" s="56">
        <v>6</v>
      </c>
      <c r="N94" s="1">
        <v>3.4</v>
      </c>
      <c r="O94" s="28">
        <v>2.302</v>
      </c>
      <c r="P94" s="60">
        <v>14.9</v>
      </c>
      <c r="Q94" s="1">
        <v>77</v>
      </c>
      <c r="R94" s="60">
        <v>1.2</v>
      </c>
      <c r="S94" s="1">
        <v>93</v>
      </c>
      <c r="T94" s="1">
        <v>60</v>
      </c>
      <c r="U94" s="1">
        <v>41</v>
      </c>
      <c r="V94" s="36">
        <v>5.9</v>
      </c>
    </row>
    <row r="95" spans="1:22" x14ac:dyDescent="0.2">
      <c r="A95" s="1">
        <v>9</v>
      </c>
      <c r="B95" s="1" t="s">
        <v>52</v>
      </c>
      <c r="C95" s="28">
        <v>2.3839999999999999</v>
      </c>
      <c r="D95" s="1">
        <v>12.5</v>
      </c>
      <c r="E95" s="1">
        <v>2</v>
      </c>
      <c r="F95" s="1">
        <v>2</v>
      </c>
      <c r="G95" s="11">
        <v>2.8740000000000001</v>
      </c>
      <c r="H95" s="12">
        <v>1.59</v>
      </c>
      <c r="I95" s="13">
        <v>2.88</v>
      </c>
      <c r="J95" s="18">
        <f t="shared" si="3"/>
        <v>2.2279069767441864</v>
      </c>
      <c r="K95" s="18">
        <f t="shared" si="2"/>
        <v>6.5475261432807681</v>
      </c>
      <c r="L95" s="56">
        <v>5.09</v>
      </c>
      <c r="M95" s="56">
        <v>6</v>
      </c>
      <c r="N95" s="1">
        <v>3.4</v>
      </c>
      <c r="O95" s="28">
        <v>2.302</v>
      </c>
      <c r="P95" s="60">
        <v>14.9</v>
      </c>
      <c r="Q95" s="1">
        <v>77</v>
      </c>
      <c r="R95" s="60">
        <v>1.2</v>
      </c>
      <c r="S95" s="1">
        <v>93</v>
      </c>
      <c r="T95" s="1">
        <v>60</v>
      </c>
      <c r="U95" s="1">
        <v>41</v>
      </c>
      <c r="V95" s="36">
        <v>5.9</v>
      </c>
    </row>
    <row r="96" spans="1:22" x14ac:dyDescent="0.2">
      <c r="A96" s="1">
        <v>9</v>
      </c>
      <c r="B96" s="1" t="s">
        <v>52</v>
      </c>
      <c r="C96" s="28">
        <v>2.3839999999999999</v>
      </c>
      <c r="D96" s="1">
        <v>12.5</v>
      </c>
      <c r="E96" s="1">
        <v>2</v>
      </c>
      <c r="F96" s="1">
        <v>3</v>
      </c>
      <c r="G96" s="11">
        <v>2.8504999999999998</v>
      </c>
      <c r="H96" s="12">
        <v>1.5814999999999999</v>
      </c>
      <c r="I96" s="13">
        <v>2.8544999999999998</v>
      </c>
      <c r="J96" s="18">
        <f t="shared" si="3"/>
        <v>2.2391987431264728</v>
      </c>
      <c r="K96" s="18">
        <f t="shared" si="2"/>
        <v>6.073878224560703</v>
      </c>
      <c r="L96" s="56">
        <v>5.09</v>
      </c>
      <c r="M96" s="56">
        <v>6</v>
      </c>
      <c r="N96" s="1">
        <v>3.4</v>
      </c>
      <c r="O96" s="28">
        <v>2.302</v>
      </c>
      <c r="P96" s="60">
        <v>14.9</v>
      </c>
      <c r="Q96" s="1">
        <v>77</v>
      </c>
      <c r="R96" s="60">
        <v>1.2</v>
      </c>
      <c r="S96" s="1">
        <v>93</v>
      </c>
      <c r="T96" s="1">
        <v>60</v>
      </c>
      <c r="U96" s="1">
        <v>41</v>
      </c>
      <c r="V96" s="36">
        <v>5.9</v>
      </c>
    </row>
    <row r="97" spans="1:22" ht="16" thickBot="1" x14ac:dyDescent="0.25">
      <c r="A97" s="1">
        <v>9</v>
      </c>
      <c r="B97" s="1" t="s">
        <v>52</v>
      </c>
      <c r="C97" s="29">
        <v>2.3839999999999999</v>
      </c>
      <c r="D97" s="2">
        <v>12.5</v>
      </c>
      <c r="E97" s="2">
        <v>2</v>
      </c>
      <c r="F97" s="2">
        <v>4</v>
      </c>
      <c r="G97" s="16">
        <v>2.86</v>
      </c>
      <c r="H97" s="10">
        <v>1.5865</v>
      </c>
      <c r="I97" s="17">
        <v>2.8660000000000001</v>
      </c>
      <c r="J97" s="20">
        <f t="shared" si="3"/>
        <v>2.235248143806174</v>
      </c>
      <c r="K97" s="20">
        <f t="shared" si="2"/>
        <v>6.2395912832980631</v>
      </c>
      <c r="L97" s="57">
        <v>5.09</v>
      </c>
      <c r="M97" s="57">
        <v>6</v>
      </c>
      <c r="N97" s="2">
        <v>3.4</v>
      </c>
      <c r="O97" s="29">
        <v>2.302</v>
      </c>
      <c r="P97" s="61">
        <v>14.9</v>
      </c>
      <c r="Q97" s="2">
        <v>77</v>
      </c>
      <c r="R97" s="61">
        <v>1.2</v>
      </c>
      <c r="S97" s="2">
        <v>93</v>
      </c>
      <c r="T97" s="2">
        <v>60</v>
      </c>
      <c r="U97" s="2">
        <v>41</v>
      </c>
      <c r="V97" s="4">
        <v>5.9</v>
      </c>
    </row>
    <row r="98" spans="1:22" x14ac:dyDescent="0.2">
      <c r="A98" s="1">
        <v>10</v>
      </c>
      <c r="B98" s="1" t="s">
        <v>53</v>
      </c>
      <c r="C98" s="28">
        <v>2.3889999999999998</v>
      </c>
      <c r="D98" s="1">
        <v>19</v>
      </c>
      <c r="E98" s="26">
        <v>1</v>
      </c>
      <c r="F98" s="26">
        <v>0</v>
      </c>
      <c r="G98" s="21">
        <v>23.942</v>
      </c>
      <c r="H98" s="22">
        <v>13.254200000000001</v>
      </c>
      <c r="I98" s="23">
        <v>24.056999999999999</v>
      </c>
      <c r="J98" s="24">
        <f t="shared" si="3"/>
        <v>2.2162772614507356</v>
      </c>
      <c r="K98" s="24">
        <f t="shared" si="2"/>
        <v>7.2299178965786641</v>
      </c>
      <c r="L98" s="56">
        <v>4.95</v>
      </c>
      <c r="M98" s="56">
        <v>5.9</v>
      </c>
      <c r="N98" s="1">
        <v>3.5</v>
      </c>
      <c r="O98" s="28">
        <v>2.3069999999999999</v>
      </c>
      <c r="P98" s="60">
        <v>14.6</v>
      </c>
      <c r="Q98" s="1">
        <v>76</v>
      </c>
      <c r="R98" s="60">
        <v>1.1000000000000001</v>
      </c>
      <c r="S98" s="1">
        <v>88</v>
      </c>
      <c r="T98" s="1">
        <v>51</v>
      </c>
      <c r="U98" s="1">
        <v>35</v>
      </c>
      <c r="V98" s="36">
        <v>5.5</v>
      </c>
    </row>
    <row r="99" spans="1:22" x14ac:dyDescent="0.2">
      <c r="A99" s="1">
        <v>10</v>
      </c>
      <c r="B99" s="1" t="s">
        <v>53</v>
      </c>
      <c r="C99" s="28">
        <v>2.3889999999999998</v>
      </c>
      <c r="D99" s="1">
        <v>19</v>
      </c>
      <c r="E99" s="1">
        <v>1</v>
      </c>
      <c r="F99" s="1">
        <v>1</v>
      </c>
      <c r="G99" s="11">
        <v>2.7865000000000002</v>
      </c>
      <c r="H99" s="12">
        <v>1.5485</v>
      </c>
      <c r="I99" s="13">
        <v>2.7909999999999999</v>
      </c>
      <c r="J99" s="18">
        <f t="shared" si="3"/>
        <v>2.2426559356136821</v>
      </c>
      <c r="K99" s="18">
        <f t="shared" si="2"/>
        <v>6.1257456838140545</v>
      </c>
      <c r="L99" s="56">
        <v>4.95</v>
      </c>
      <c r="M99" s="56">
        <v>5.9</v>
      </c>
      <c r="N99" s="1">
        <v>3.5</v>
      </c>
      <c r="O99" s="28">
        <v>2.3069999999999999</v>
      </c>
      <c r="P99" s="60">
        <v>14.6</v>
      </c>
      <c r="Q99" s="1">
        <v>76</v>
      </c>
      <c r="R99" s="60">
        <v>1.1000000000000001</v>
      </c>
      <c r="S99" s="1">
        <v>88</v>
      </c>
      <c r="T99" s="1">
        <v>51</v>
      </c>
      <c r="U99" s="1">
        <v>35</v>
      </c>
      <c r="V99" s="36">
        <v>5.5</v>
      </c>
    </row>
    <row r="100" spans="1:22" x14ac:dyDescent="0.2">
      <c r="A100" s="1">
        <v>10</v>
      </c>
      <c r="B100" s="1" t="s">
        <v>53</v>
      </c>
      <c r="C100" s="28">
        <v>2.3889999999999998</v>
      </c>
      <c r="D100" s="1">
        <v>19</v>
      </c>
      <c r="E100" s="1">
        <v>1</v>
      </c>
      <c r="F100" s="1">
        <v>2</v>
      </c>
      <c r="G100" s="11">
        <v>2.798</v>
      </c>
      <c r="H100" s="12">
        <v>1.554</v>
      </c>
      <c r="I100" s="13">
        <v>2.8014999999999999</v>
      </c>
      <c r="J100" s="18">
        <f t="shared" si="3"/>
        <v>2.2428857715430865</v>
      </c>
      <c r="K100" s="18">
        <f t="shared" si="2"/>
        <v>6.1161250923781214</v>
      </c>
      <c r="L100" s="56">
        <v>4.95</v>
      </c>
      <c r="M100" s="56">
        <v>5.9</v>
      </c>
      <c r="N100" s="1">
        <v>3.5</v>
      </c>
      <c r="O100" s="28">
        <v>2.3069999999999999</v>
      </c>
      <c r="P100" s="60">
        <v>14.6</v>
      </c>
      <c r="Q100" s="1">
        <v>76</v>
      </c>
      <c r="R100" s="60">
        <v>1.1000000000000001</v>
      </c>
      <c r="S100" s="1">
        <v>88</v>
      </c>
      <c r="T100" s="1">
        <v>51</v>
      </c>
      <c r="U100" s="1">
        <v>35</v>
      </c>
      <c r="V100" s="36">
        <v>5.5</v>
      </c>
    </row>
    <row r="101" spans="1:22" x14ac:dyDescent="0.2">
      <c r="A101" s="1">
        <v>10</v>
      </c>
      <c r="B101" s="1" t="s">
        <v>53</v>
      </c>
      <c r="C101" s="28">
        <v>2.3889999999999998</v>
      </c>
      <c r="D101" s="1">
        <v>19</v>
      </c>
      <c r="E101" s="1">
        <v>1</v>
      </c>
      <c r="F101" s="1">
        <v>3</v>
      </c>
      <c r="G101" s="11">
        <v>2.8035000000000001</v>
      </c>
      <c r="H101" s="12">
        <v>1.5535000000000001</v>
      </c>
      <c r="I101" s="13">
        <v>2.8090000000000002</v>
      </c>
      <c r="J101" s="18">
        <f t="shared" si="3"/>
        <v>2.2329749103942653</v>
      </c>
      <c r="K101" s="18">
        <f t="shared" si="2"/>
        <v>6.5309790542375286</v>
      </c>
      <c r="L101" s="56">
        <v>4.95</v>
      </c>
      <c r="M101" s="56">
        <v>5.9</v>
      </c>
      <c r="N101" s="1">
        <v>3.5</v>
      </c>
      <c r="O101" s="28">
        <v>2.3069999999999999</v>
      </c>
      <c r="P101" s="60">
        <v>14.6</v>
      </c>
      <c r="Q101" s="1">
        <v>76</v>
      </c>
      <c r="R101" s="60">
        <v>1.1000000000000001</v>
      </c>
      <c r="S101" s="1">
        <v>88</v>
      </c>
      <c r="T101" s="1">
        <v>51</v>
      </c>
      <c r="U101" s="1">
        <v>35</v>
      </c>
      <c r="V101" s="36">
        <v>5.5</v>
      </c>
    </row>
    <row r="102" spans="1:22" x14ac:dyDescent="0.2">
      <c r="A102" s="1">
        <v>10</v>
      </c>
      <c r="B102" s="1" t="s">
        <v>53</v>
      </c>
      <c r="C102" s="28">
        <v>2.3889999999999998</v>
      </c>
      <c r="D102" s="1">
        <v>19</v>
      </c>
      <c r="E102" s="5">
        <v>1</v>
      </c>
      <c r="F102" s="5">
        <v>4</v>
      </c>
      <c r="G102" s="14">
        <v>2.7919999999999998</v>
      </c>
      <c r="H102" s="9">
        <v>1.5495000000000001</v>
      </c>
      <c r="I102" s="15">
        <v>2.7949999999999999</v>
      </c>
      <c r="J102" s="19">
        <f t="shared" si="3"/>
        <v>2.2416700120433561</v>
      </c>
      <c r="K102" s="19">
        <f t="shared" si="2"/>
        <v>6.167014983534691</v>
      </c>
      <c r="L102" s="58">
        <v>4.95</v>
      </c>
      <c r="M102" s="58">
        <v>5.9</v>
      </c>
      <c r="N102" s="5">
        <v>3.5</v>
      </c>
      <c r="O102" s="53">
        <v>2.3069999999999999</v>
      </c>
      <c r="P102" s="62">
        <v>14.6</v>
      </c>
      <c r="Q102" s="5">
        <v>76</v>
      </c>
      <c r="R102" s="62">
        <v>1.1000000000000001</v>
      </c>
      <c r="S102" s="5">
        <v>88</v>
      </c>
      <c r="T102" s="5">
        <v>51</v>
      </c>
      <c r="U102" s="5">
        <v>35</v>
      </c>
      <c r="V102" s="43">
        <v>5.5</v>
      </c>
    </row>
    <row r="103" spans="1:22" x14ac:dyDescent="0.2">
      <c r="A103" s="1">
        <v>10</v>
      </c>
      <c r="B103" s="1" t="s">
        <v>54</v>
      </c>
      <c r="C103" s="28">
        <v>2.3889999999999998</v>
      </c>
      <c r="D103" s="1">
        <v>19</v>
      </c>
      <c r="E103" s="26">
        <v>2</v>
      </c>
      <c r="F103" s="26">
        <v>0</v>
      </c>
      <c r="G103" s="21">
        <v>24.018000000000001</v>
      </c>
      <c r="H103" s="22">
        <v>13.279</v>
      </c>
      <c r="I103" s="23">
        <v>24.1265</v>
      </c>
      <c r="J103" s="24">
        <f t="shared" si="3"/>
        <v>2.2141507259737265</v>
      </c>
      <c r="K103" s="24">
        <f t="shared" si="2"/>
        <v>7.318931520563976</v>
      </c>
      <c r="L103" s="56">
        <v>4.95</v>
      </c>
      <c r="M103" s="56">
        <v>5.9</v>
      </c>
      <c r="N103" s="1">
        <v>3.5</v>
      </c>
      <c r="O103" s="28">
        <v>2.3069999999999999</v>
      </c>
      <c r="P103" s="60">
        <v>14.6</v>
      </c>
      <c r="Q103" s="1">
        <v>76</v>
      </c>
      <c r="R103" s="60">
        <v>1.1000000000000001</v>
      </c>
      <c r="S103" s="1">
        <v>88</v>
      </c>
      <c r="T103" s="1">
        <v>51</v>
      </c>
      <c r="U103" s="1">
        <v>35</v>
      </c>
      <c r="V103" s="36">
        <v>5.5</v>
      </c>
    </row>
    <row r="104" spans="1:22" x14ac:dyDescent="0.2">
      <c r="A104" s="1">
        <v>10</v>
      </c>
      <c r="B104" s="1" t="s">
        <v>54</v>
      </c>
      <c r="C104" s="28">
        <v>2.3889999999999998</v>
      </c>
      <c r="D104" s="1">
        <v>19</v>
      </c>
      <c r="E104" s="1">
        <v>2</v>
      </c>
      <c r="F104" s="1">
        <v>1</v>
      </c>
      <c r="G104" s="11">
        <v>2.7985000000000002</v>
      </c>
      <c r="H104" s="12">
        <v>1.5489999999999999</v>
      </c>
      <c r="I104" s="13">
        <v>2.8</v>
      </c>
      <c r="J104" s="18">
        <f t="shared" si="3"/>
        <v>2.2370103916866508</v>
      </c>
      <c r="K104" s="18">
        <f t="shared" si="2"/>
        <v>6.3620597870803213</v>
      </c>
      <c r="L104" s="56">
        <v>4.95</v>
      </c>
      <c r="M104" s="56">
        <v>5.9</v>
      </c>
      <c r="N104" s="1">
        <v>3.5</v>
      </c>
      <c r="O104" s="28">
        <v>2.3069999999999999</v>
      </c>
      <c r="P104" s="60">
        <v>14.6</v>
      </c>
      <c r="Q104" s="1">
        <v>76</v>
      </c>
      <c r="R104" s="60">
        <v>1.1000000000000001</v>
      </c>
      <c r="S104" s="1">
        <v>88</v>
      </c>
      <c r="T104" s="1">
        <v>51</v>
      </c>
      <c r="U104" s="1">
        <v>35</v>
      </c>
      <c r="V104" s="36">
        <v>5.5</v>
      </c>
    </row>
    <row r="105" spans="1:22" x14ac:dyDescent="0.2">
      <c r="A105" s="1">
        <v>10</v>
      </c>
      <c r="B105" s="1" t="s">
        <v>54</v>
      </c>
      <c r="C105" s="28">
        <v>2.3889999999999998</v>
      </c>
      <c r="D105" s="1">
        <v>19</v>
      </c>
      <c r="E105" s="1">
        <v>2</v>
      </c>
      <c r="F105" s="1">
        <v>2</v>
      </c>
      <c r="G105" s="11">
        <v>2.8109999999999999</v>
      </c>
      <c r="H105" s="12">
        <v>1.546</v>
      </c>
      <c r="I105" s="13">
        <v>2.806</v>
      </c>
      <c r="J105" s="18">
        <f t="shared" si="3"/>
        <v>2.230952380952381</v>
      </c>
      <c r="K105" s="18">
        <f t="shared" si="2"/>
        <v>6.6156391397077741</v>
      </c>
      <c r="L105" s="56">
        <v>4.95</v>
      </c>
      <c r="M105" s="56">
        <v>5.9</v>
      </c>
      <c r="N105" s="1">
        <v>3.5</v>
      </c>
      <c r="O105" s="28">
        <v>2.3069999999999999</v>
      </c>
      <c r="P105" s="60">
        <v>14.6</v>
      </c>
      <c r="Q105" s="1">
        <v>76</v>
      </c>
      <c r="R105" s="60">
        <v>1.1000000000000001</v>
      </c>
      <c r="S105" s="1">
        <v>88</v>
      </c>
      <c r="T105" s="1">
        <v>51</v>
      </c>
      <c r="U105" s="1">
        <v>35</v>
      </c>
      <c r="V105" s="36">
        <v>5.5</v>
      </c>
    </row>
    <row r="106" spans="1:22" x14ac:dyDescent="0.2">
      <c r="A106" s="1">
        <v>10</v>
      </c>
      <c r="B106" s="1" t="s">
        <v>54</v>
      </c>
      <c r="C106" s="28">
        <v>2.3889999999999998</v>
      </c>
      <c r="D106" s="1">
        <v>19</v>
      </c>
      <c r="E106" s="1">
        <v>2</v>
      </c>
      <c r="F106" s="1">
        <v>3</v>
      </c>
      <c r="G106" s="11">
        <v>2.786</v>
      </c>
      <c r="H106" s="12">
        <v>1.5488999999999999</v>
      </c>
      <c r="I106" s="13">
        <v>2.7949999999999999</v>
      </c>
      <c r="J106" s="18">
        <f t="shared" si="3"/>
        <v>2.2357756199341949</v>
      </c>
      <c r="K106" s="18">
        <f t="shared" si="2"/>
        <v>6.4137455029637858</v>
      </c>
      <c r="L106" s="56">
        <v>4.95</v>
      </c>
      <c r="M106" s="56">
        <v>5.9</v>
      </c>
      <c r="N106" s="1">
        <v>3.5</v>
      </c>
      <c r="O106" s="28">
        <v>2.3069999999999999</v>
      </c>
      <c r="P106" s="60">
        <v>14.6</v>
      </c>
      <c r="Q106" s="1">
        <v>76</v>
      </c>
      <c r="R106" s="60">
        <v>1.1000000000000001</v>
      </c>
      <c r="S106" s="1">
        <v>88</v>
      </c>
      <c r="T106" s="1">
        <v>51</v>
      </c>
      <c r="U106" s="1">
        <v>35</v>
      </c>
      <c r="V106" s="36">
        <v>5.5</v>
      </c>
    </row>
    <row r="107" spans="1:22" ht="16" thickBot="1" x14ac:dyDescent="0.25">
      <c r="A107" s="1">
        <v>10</v>
      </c>
      <c r="B107" s="1" t="s">
        <v>54</v>
      </c>
      <c r="C107" s="29">
        <v>2.3889999999999998</v>
      </c>
      <c r="D107" s="2">
        <v>19</v>
      </c>
      <c r="E107" s="2">
        <v>2</v>
      </c>
      <c r="F107" s="2">
        <v>4</v>
      </c>
      <c r="G107" s="16">
        <v>2.7930000000000001</v>
      </c>
      <c r="H107" s="10">
        <v>1.552</v>
      </c>
      <c r="I107" s="17">
        <v>2.8050000000000002</v>
      </c>
      <c r="J107" s="20">
        <f t="shared" si="3"/>
        <v>2.2290502793296088</v>
      </c>
      <c r="K107" s="20">
        <f t="shared" si="2"/>
        <v>6.6952582951189221</v>
      </c>
      <c r="L107" s="57">
        <v>4.95</v>
      </c>
      <c r="M107" s="57">
        <v>5.9</v>
      </c>
      <c r="N107" s="2">
        <v>3.5</v>
      </c>
      <c r="O107" s="29">
        <v>2.3069999999999999</v>
      </c>
      <c r="P107" s="61">
        <v>14.6</v>
      </c>
      <c r="Q107" s="2">
        <v>76</v>
      </c>
      <c r="R107" s="61">
        <v>1.1000000000000001</v>
      </c>
      <c r="S107" s="2">
        <v>88</v>
      </c>
      <c r="T107" s="2">
        <v>51</v>
      </c>
      <c r="U107" s="2">
        <v>35</v>
      </c>
      <c r="V107" s="4">
        <v>5.5</v>
      </c>
    </row>
    <row r="108" spans="1:22" x14ac:dyDescent="0.2">
      <c r="A108" s="1">
        <v>11</v>
      </c>
      <c r="B108" s="1" t="s">
        <v>55</v>
      </c>
      <c r="C108" s="28">
        <v>2.3730000000000002</v>
      </c>
      <c r="D108" s="1">
        <v>12.5</v>
      </c>
      <c r="E108" s="26">
        <v>1</v>
      </c>
      <c r="F108" s="26">
        <v>0</v>
      </c>
      <c r="G108" s="21">
        <v>23.834</v>
      </c>
      <c r="H108" s="22">
        <v>13.231999999999999</v>
      </c>
      <c r="I108" s="23">
        <v>24.151499999999999</v>
      </c>
      <c r="J108" s="24">
        <f t="shared" si="3"/>
        <v>2.182700673107743</v>
      </c>
      <c r="K108" s="24">
        <f t="shared" si="2"/>
        <v>8.0193563797832823</v>
      </c>
      <c r="L108" s="56">
        <v>5.3</v>
      </c>
      <c r="M108" s="56">
        <v>6.1</v>
      </c>
      <c r="N108" s="1">
        <v>3.3</v>
      </c>
      <c r="O108" s="28">
        <v>2.2959999999999998</v>
      </c>
      <c r="P108" s="60">
        <v>15.1</v>
      </c>
      <c r="Q108" s="1">
        <v>78</v>
      </c>
      <c r="R108" s="60">
        <v>1.1000000000000001</v>
      </c>
      <c r="S108" s="1">
        <v>93</v>
      </c>
      <c r="T108" s="1">
        <v>58</v>
      </c>
      <c r="U108" s="1">
        <v>40</v>
      </c>
      <c r="V108" s="36">
        <v>5.8</v>
      </c>
    </row>
    <row r="109" spans="1:22" x14ac:dyDescent="0.2">
      <c r="A109" s="1">
        <v>11</v>
      </c>
      <c r="B109" s="1" t="s">
        <v>55</v>
      </c>
      <c r="C109" s="28">
        <v>2.3730000000000002</v>
      </c>
      <c r="D109" s="1">
        <v>12.5</v>
      </c>
      <c r="E109" s="1">
        <v>1</v>
      </c>
      <c r="F109" s="1">
        <v>1</v>
      </c>
      <c r="G109" s="11">
        <v>2.7284999999999999</v>
      </c>
      <c r="H109" s="12">
        <v>1.5</v>
      </c>
      <c r="I109" s="13">
        <v>2.73</v>
      </c>
      <c r="J109" s="18">
        <f t="shared" si="3"/>
        <v>2.2182926829268292</v>
      </c>
      <c r="K109" s="18">
        <f t="shared" si="2"/>
        <v>6.5194823882499309</v>
      </c>
      <c r="L109" s="56">
        <v>5.3</v>
      </c>
      <c r="M109" s="56">
        <v>6.1</v>
      </c>
      <c r="N109" s="1">
        <v>3.3</v>
      </c>
      <c r="O109" s="28">
        <v>2.2959999999999998</v>
      </c>
      <c r="P109" s="60">
        <v>15.1</v>
      </c>
      <c r="Q109" s="1">
        <v>78</v>
      </c>
      <c r="R109" s="60">
        <v>1.1000000000000001</v>
      </c>
      <c r="S109" s="1">
        <v>93</v>
      </c>
      <c r="T109" s="1">
        <v>58</v>
      </c>
      <c r="U109" s="1">
        <v>40</v>
      </c>
      <c r="V109" s="36">
        <v>5.8</v>
      </c>
    </row>
    <row r="110" spans="1:22" x14ac:dyDescent="0.2">
      <c r="A110" s="1">
        <v>11</v>
      </c>
      <c r="B110" s="1" t="s">
        <v>55</v>
      </c>
      <c r="C110" s="28">
        <v>2.3730000000000002</v>
      </c>
      <c r="D110" s="1">
        <v>12.5</v>
      </c>
      <c r="E110" s="1">
        <v>1</v>
      </c>
      <c r="F110" s="1">
        <v>2</v>
      </c>
      <c r="G110" s="11">
        <v>2.7715000000000001</v>
      </c>
      <c r="H110" s="12">
        <v>1.5365</v>
      </c>
      <c r="I110" s="13">
        <v>2.7845</v>
      </c>
      <c r="J110" s="18">
        <f t="shared" si="3"/>
        <v>2.2207532051282053</v>
      </c>
      <c r="K110" s="18">
        <f t="shared" si="2"/>
        <v>6.4157941370330818</v>
      </c>
      <c r="L110" s="56">
        <v>5.3</v>
      </c>
      <c r="M110" s="56">
        <v>6.1</v>
      </c>
      <c r="N110" s="1">
        <v>3.3</v>
      </c>
      <c r="O110" s="28">
        <v>2.2959999999999998</v>
      </c>
      <c r="P110" s="60">
        <v>15.1</v>
      </c>
      <c r="Q110" s="1">
        <v>78</v>
      </c>
      <c r="R110" s="60">
        <v>1.1000000000000001</v>
      </c>
      <c r="S110" s="1">
        <v>93</v>
      </c>
      <c r="T110" s="1">
        <v>58</v>
      </c>
      <c r="U110" s="1">
        <v>40</v>
      </c>
      <c r="V110" s="36">
        <v>5.8</v>
      </c>
    </row>
    <row r="111" spans="1:22" x14ac:dyDescent="0.2">
      <c r="A111" s="1">
        <v>11</v>
      </c>
      <c r="B111" s="1" t="s">
        <v>55</v>
      </c>
      <c r="C111" s="28">
        <v>2.3730000000000002</v>
      </c>
      <c r="D111" s="1">
        <v>12.5</v>
      </c>
      <c r="E111" s="1">
        <v>1</v>
      </c>
      <c r="F111" s="1">
        <v>3</v>
      </c>
      <c r="G111" s="11">
        <v>2.7875000000000001</v>
      </c>
      <c r="H111" s="12">
        <v>1.5425</v>
      </c>
      <c r="I111" s="13">
        <v>2.7959999999999998</v>
      </c>
      <c r="J111" s="18">
        <f t="shared" si="3"/>
        <v>2.2237734343837259</v>
      </c>
      <c r="K111" s="18">
        <f t="shared" si="2"/>
        <v>6.2885194107153097</v>
      </c>
      <c r="L111" s="56">
        <v>5.3</v>
      </c>
      <c r="M111" s="56">
        <v>6.1</v>
      </c>
      <c r="N111" s="1">
        <v>3.3</v>
      </c>
      <c r="O111" s="28">
        <v>2.2959999999999998</v>
      </c>
      <c r="P111" s="60">
        <v>15.1</v>
      </c>
      <c r="Q111" s="1">
        <v>78</v>
      </c>
      <c r="R111" s="60">
        <v>1.1000000000000001</v>
      </c>
      <c r="S111" s="1">
        <v>93</v>
      </c>
      <c r="T111" s="1">
        <v>58</v>
      </c>
      <c r="U111" s="1">
        <v>40</v>
      </c>
      <c r="V111" s="36">
        <v>5.8</v>
      </c>
    </row>
    <row r="112" spans="1:22" x14ac:dyDescent="0.2">
      <c r="A112" s="1">
        <v>11</v>
      </c>
      <c r="B112" s="1" t="s">
        <v>55</v>
      </c>
      <c r="C112" s="28">
        <v>2.3730000000000002</v>
      </c>
      <c r="D112" s="1">
        <v>12.5</v>
      </c>
      <c r="E112" s="5">
        <v>1</v>
      </c>
      <c r="F112" s="5">
        <v>4</v>
      </c>
      <c r="G112" s="14">
        <v>2.8140000000000001</v>
      </c>
      <c r="H112" s="9">
        <v>1.5575000000000001</v>
      </c>
      <c r="I112" s="15">
        <v>2.823</v>
      </c>
      <c r="J112" s="19">
        <f t="shared" si="3"/>
        <v>2.2236270248913477</v>
      </c>
      <c r="K112" s="19">
        <f t="shared" si="2"/>
        <v>6.2946892165466668</v>
      </c>
      <c r="L112" s="58">
        <v>5.3</v>
      </c>
      <c r="M112" s="58">
        <v>6.1</v>
      </c>
      <c r="N112" s="5">
        <v>3.3</v>
      </c>
      <c r="O112" s="53">
        <v>2.2959999999999998</v>
      </c>
      <c r="P112" s="62">
        <v>15.1</v>
      </c>
      <c r="Q112" s="5">
        <v>78</v>
      </c>
      <c r="R112" s="62">
        <v>1.1000000000000001</v>
      </c>
      <c r="S112" s="5">
        <v>93</v>
      </c>
      <c r="T112" s="5">
        <v>58</v>
      </c>
      <c r="U112" s="5">
        <v>40</v>
      </c>
      <c r="V112" s="43">
        <v>5.8</v>
      </c>
    </row>
    <row r="113" spans="1:22" x14ac:dyDescent="0.2">
      <c r="A113" s="1">
        <v>11</v>
      </c>
      <c r="B113" s="1" t="s">
        <v>56</v>
      </c>
      <c r="C113" s="28">
        <v>2.3730000000000002</v>
      </c>
      <c r="D113" s="1">
        <v>12.5</v>
      </c>
      <c r="E113" s="26">
        <v>2</v>
      </c>
      <c r="F113" s="26">
        <v>0</v>
      </c>
      <c r="G113" s="21">
        <v>24.012499999999999</v>
      </c>
      <c r="H113" s="22">
        <v>13.335000000000001</v>
      </c>
      <c r="I113" s="23">
        <v>24.263999999999999</v>
      </c>
      <c r="J113" s="24">
        <f t="shared" si="3"/>
        <v>2.1971360600237904</v>
      </c>
      <c r="K113" s="24">
        <f t="shared" si="2"/>
        <v>7.4110383470800567</v>
      </c>
      <c r="L113" s="56">
        <v>5.3</v>
      </c>
      <c r="M113" s="56">
        <v>6.1</v>
      </c>
      <c r="N113" s="1">
        <v>3.3</v>
      </c>
      <c r="O113" s="28">
        <v>2.2959999999999998</v>
      </c>
      <c r="P113" s="60">
        <v>15.1</v>
      </c>
      <c r="Q113" s="1">
        <v>78</v>
      </c>
      <c r="R113" s="60">
        <v>1.1000000000000001</v>
      </c>
      <c r="S113" s="1">
        <v>93</v>
      </c>
      <c r="T113" s="1">
        <v>58</v>
      </c>
      <c r="U113" s="1">
        <v>40</v>
      </c>
      <c r="V113" s="36">
        <v>5.8</v>
      </c>
    </row>
    <row r="114" spans="1:22" x14ac:dyDescent="0.2">
      <c r="A114" s="1">
        <v>11</v>
      </c>
      <c r="B114" s="1" t="s">
        <v>56</v>
      </c>
      <c r="C114" s="28">
        <v>2.3730000000000002</v>
      </c>
      <c r="D114" s="1">
        <v>12.5</v>
      </c>
      <c r="E114" s="1">
        <v>2</v>
      </c>
      <c r="F114" s="1">
        <v>1</v>
      </c>
      <c r="G114" s="11">
        <v>2.81</v>
      </c>
      <c r="H114" s="12">
        <v>1.5645</v>
      </c>
      <c r="I114" s="13">
        <v>2.8294999999999999</v>
      </c>
      <c r="J114" s="18">
        <f t="shared" si="3"/>
        <v>2.2213438735177866</v>
      </c>
      <c r="K114" s="18">
        <f t="shared" si="2"/>
        <v>6.3909029280326042</v>
      </c>
      <c r="L114" s="56">
        <v>5.3</v>
      </c>
      <c r="M114" s="56">
        <v>6.1</v>
      </c>
      <c r="N114" s="1">
        <v>3.3</v>
      </c>
      <c r="O114" s="28">
        <v>2.2959999999999998</v>
      </c>
      <c r="P114" s="60">
        <v>15.1</v>
      </c>
      <c r="Q114" s="1">
        <v>78</v>
      </c>
      <c r="R114" s="60">
        <v>1.1000000000000001</v>
      </c>
      <c r="S114" s="1">
        <v>93</v>
      </c>
      <c r="T114" s="1">
        <v>58</v>
      </c>
      <c r="U114" s="1">
        <v>40</v>
      </c>
      <c r="V114" s="36">
        <v>5.8</v>
      </c>
    </row>
    <row r="115" spans="1:22" x14ac:dyDescent="0.2">
      <c r="A115" s="1">
        <v>11</v>
      </c>
      <c r="B115" s="1" t="s">
        <v>56</v>
      </c>
      <c r="C115" s="28">
        <v>2.3730000000000002</v>
      </c>
      <c r="D115" s="1">
        <v>12.5</v>
      </c>
      <c r="E115" s="1">
        <v>2</v>
      </c>
      <c r="F115" s="1">
        <v>2</v>
      </c>
      <c r="G115" s="11">
        <v>2.7965</v>
      </c>
      <c r="H115" s="12">
        <v>1.5565</v>
      </c>
      <c r="I115" s="13">
        <v>2.8170000000000002</v>
      </c>
      <c r="J115" s="18">
        <f t="shared" si="3"/>
        <v>2.2185640618802061</v>
      </c>
      <c r="K115" s="18">
        <f t="shared" si="2"/>
        <v>6.5080462755918278</v>
      </c>
      <c r="L115" s="56">
        <v>5.3</v>
      </c>
      <c r="M115" s="56">
        <v>6.1</v>
      </c>
      <c r="N115" s="1">
        <v>3.3</v>
      </c>
      <c r="O115" s="28">
        <v>2.2959999999999998</v>
      </c>
      <c r="P115" s="60">
        <v>15.1</v>
      </c>
      <c r="Q115" s="1">
        <v>78</v>
      </c>
      <c r="R115" s="60">
        <v>1.1000000000000001</v>
      </c>
      <c r="S115" s="1">
        <v>93</v>
      </c>
      <c r="T115" s="1">
        <v>58</v>
      </c>
      <c r="U115" s="1">
        <v>40</v>
      </c>
      <c r="V115" s="36">
        <v>5.8</v>
      </c>
    </row>
    <row r="116" spans="1:22" x14ac:dyDescent="0.2">
      <c r="A116" s="1">
        <v>11</v>
      </c>
      <c r="B116" s="1" t="s">
        <v>56</v>
      </c>
      <c r="C116" s="28">
        <v>2.3730000000000002</v>
      </c>
      <c r="D116" s="1">
        <v>12.5</v>
      </c>
      <c r="E116" s="1">
        <v>2</v>
      </c>
      <c r="F116" s="1">
        <v>3</v>
      </c>
      <c r="G116" s="11">
        <v>2.8134999999999999</v>
      </c>
      <c r="H116" s="12">
        <v>1.5625</v>
      </c>
      <c r="I116" s="13">
        <v>2.8279999999999998</v>
      </c>
      <c r="J116" s="18">
        <f t="shared" si="3"/>
        <v>2.2232319241406562</v>
      </c>
      <c r="K116" s="18">
        <f t="shared" si="2"/>
        <v>6.311339058548004</v>
      </c>
      <c r="L116" s="56">
        <v>5.3</v>
      </c>
      <c r="M116" s="56">
        <v>6.1</v>
      </c>
      <c r="N116" s="1">
        <v>3.3</v>
      </c>
      <c r="O116" s="28">
        <v>2.2959999999999998</v>
      </c>
      <c r="P116" s="60">
        <v>15.1</v>
      </c>
      <c r="Q116" s="1">
        <v>78</v>
      </c>
      <c r="R116" s="60">
        <v>1.1000000000000001</v>
      </c>
      <c r="S116" s="1">
        <v>93</v>
      </c>
      <c r="T116" s="1">
        <v>58</v>
      </c>
      <c r="U116" s="1">
        <v>40</v>
      </c>
      <c r="V116" s="36">
        <v>5.8</v>
      </c>
    </row>
    <row r="117" spans="1:22" ht="16" thickBot="1" x14ac:dyDescent="0.25">
      <c r="A117" s="1">
        <v>11</v>
      </c>
      <c r="B117" s="1" t="s">
        <v>56</v>
      </c>
      <c r="C117" s="29">
        <v>2.3730000000000002</v>
      </c>
      <c r="D117" s="2">
        <v>12.5</v>
      </c>
      <c r="E117" s="2">
        <v>2</v>
      </c>
      <c r="F117" s="2">
        <v>4</v>
      </c>
      <c r="G117" s="16">
        <v>2.8340000000000001</v>
      </c>
      <c r="H117" s="10">
        <v>1.5734999999999999</v>
      </c>
      <c r="I117" s="17">
        <v>2.8490000000000002</v>
      </c>
      <c r="J117" s="20">
        <f t="shared" si="3"/>
        <v>2.2218737749901996</v>
      </c>
      <c r="K117" s="20">
        <f t="shared" si="2"/>
        <v>6.368572482503188</v>
      </c>
      <c r="L117" s="57">
        <v>5.3</v>
      </c>
      <c r="M117" s="57">
        <v>6.1</v>
      </c>
      <c r="N117" s="2">
        <v>3.3</v>
      </c>
      <c r="O117" s="29">
        <v>2.2959999999999998</v>
      </c>
      <c r="P117" s="61">
        <v>15.1</v>
      </c>
      <c r="Q117" s="2">
        <v>78</v>
      </c>
      <c r="R117" s="61">
        <v>1.1000000000000001</v>
      </c>
      <c r="S117" s="2">
        <v>93</v>
      </c>
      <c r="T117" s="2">
        <v>58</v>
      </c>
      <c r="U117" s="2">
        <v>40</v>
      </c>
      <c r="V117" s="4">
        <v>5.8</v>
      </c>
    </row>
    <row r="118" spans="1:22" x14ac:dyDescent="0.2">
      <c r="A118" s="1">
        <v>12</v>
      </c>
      <c r="B118" s="1" t="s">
        <v>57</v>
      </c>
      <c r="C118" s="28">
        <v>2.387</v>
      </c>
      <c r="D118" s="1">
        <v>19</v>
      </c>
      <c r="E118" s="26">
        <v>1</v>
      </c>
      <c r="F118" s="26">
        <v>0</v>
      </c>
      <c r="G118" s="21">
        <v>24.043500000000002</v>
      </c>
      <c r="H118" s="22">
        <v>13.394</v>
      </c>
      <c r="I118" s="23">
        <v>24.3125</v>
      </c>
      <c r="J118" s="24">
        <f t="shared" si="3"/>
        <v>2.2020881989284242</v>
      </c>
      <c r="K118" s="24">
        <f t="shared" si="2"/>
        <v>7.7466192321565046</v>
      </c>
      <c r="L118" s="56">
        <v>5</v>
      </c>
      <c r="M118" s="56">
        <v>6</v>
      </c>
      <c r="N118" s="1">
        <v>3.4</v>
      </c>
      <c r="O118" s="28">
        <v>2.3069999999999999</v>
      </c>
      <c r="P118" s="60">
        <v>14.6</v>
      </c>
      <c r="Q118" s="1">
        <v>77</v>
      </c>
      <c r="R118" s="60">
        <v>1.1000000000000001</v>
      </c>
      <c r="S118" s="1">
        <v>87</v>
      </c>
      <c r="T118" s="1">
        <v>56</v>
      </c>
      <c r="U118" s="1">
        <v>39</v>
      </c>
      <c r="V118" s="36">
        <v>5.7</v>
      </c>
    </row>
    <row r="119" spans="1:22" x14ac:dyDescent="0.2">
      <c r="A119" s="1">
        <v>12</v>
      </c>
      <c r="B119" s="1" t="s">
        <v>57</v>
      </c>
      <c r="C119" s="28">
        <v>2.387</v>
      </c>
      <c r="D119" s="1">
        <v>19</v>
      </c>
      <c r="E119" s="1">
        <v>1</v>
      </c>
      <c r="F119" s="1">
        <v>1</v>
      </c>
      <c r="G119" s="11">
        <v>2.7555000000000001</v>
      </c>
      <c r="H119" s="12">
        <v>1.5389999999999999</v>
      </c>
      <c r="I119" s="13">
        <v>2.77</v>
      </c>
      <c r="J119" s="18">
        <f t="shared" si="3"/>
        <v>2.2384240454914703</v>
      </c>
      <c r="K119" s="18">
        <f t="shared" si="2"/>
        <v>6.2243801637423379</v>
      </c>
      <c r="L119" s="56">
        <v>5</v>
      </c>
      <c r="M119" s="56">
        <v>6</v>
      </c>
      <c r="N119" s="1">
        <v>3.4</v>
      </c>
      <c r="O119" s="28">
        <v>2.3069999999999999</v>
      </c>
      <c r="P119" s="60">
        <v>14.6</v>
      </c>
      <c r="Q119" s="1">
        <v>77</v>
      </c>
      <c r="R119" s="60">
        <v>1.1000000000000001</v>
      </c>
      <c r="S119" s="1">
        <v>87</v>
      </c>
      <c r="T119" s="1">
        <v>56</v>
      </c>
      <c r="U119" s="1">
        <v>39</v>
      </c>
      <c r="V119" s="36">
        <v>5.7</v>
      </c>
    </row>
    <row r="120" spans="1:22" x14ac:dyDescent="0.2">
      <c r="A120" s="1">
        <v>12</v>
      </c>
      <c r="B120" s="1" t="s">
        <v>57</v>
      </c>
      <c r="C120" s="28">
        <v>2.387</v>
      </c>
      <c r="D120" s="1">
        <v>19</v>
      </c>
      <c r="E120" s="1">
        <v>1</v>
      </c>
      <c r="F120" s="1">
        <v>2</v>
      </c>
      <c r="G120" s="11">
        <v>2.802</v>
      </c>
      <c r="H120" s="12">
        <v>1.5585</v>
      </c>
      <c r="I120" s="13">
        <v>2.8170000000000002</v>
      </c>
      <c r="J120" s="18">
        <f t="shared" si="3"/>
        <v>2.2264600715137064</v>
      </c>
      <c r="K120" s="18">
        <f t="shared" si="2"/>
        <v>6.7255939876955884</v>
      </c>
      <c r="L120" s="56">
        <v>5</v>
      </c>
      <c r="M120" s="56">
        <v>6</v>
      </c>
      <c r="N120" s="1">
        <v>3.4</v>
      </c>
      <c r="O120" s="28">
        <v>2.3069999999999999</v>
      </c>
      <c r="P120" s="60">
        <v>14.6</v>
      </c>
      <c r="Q120" s="1">
        <v>77</v>
      </c>
      <c r="R120" s="60">
        <v>1.1000000000000001</v>
      </c>
      <c r="S120" s="1">
        <v>87</v>
      </c>
      <c r="T120" s="1">
        <v>56</v>
      </c>
      <c r="U120" s="1">
        <v>39</v>
      </c>
      <c r="V120" s="36">
        <v>5.7</v>
      </c>
    </row>
    <row r="121" spans="1:22" x14ac:dyDescent="0.2">
      <c r="A121" s="1">
        <v>12</v>
      </c>
      <c r="B121" s="1" t="s">
        <v>57</v>
      </c>
      <c r="C121" s="28">
        <v>2.387</v>
      </c>
      <c r="D121" s="1">
        <v>19</v>
      </c>
      <c r="E121" s="1">
        <v>1</v>
      </c>
      <c r="F121" s="1">
        <v>3</v>
      </c>
      <c r="G121" s="11">
        <v>2.7934999999999999</v>
      </c>
      <c r="H121" s="12">
        <v>1.5620000000000001</v>
      </c>
      <c r="I121" s="13">
        <v>2.8125</v>
      </c>
      <c r="J121" s="18">
        <f t="shared" si="3"/>
        <v>2.2339064374250301</v>
      </c>
      <c r="K121" s="18">
        <f t="shared" si="2"/>
        <v>6.4136389851265125</v>
      </c>
      <c r="L121" s="56">
        <v>5</v>
      </c>
      <c r="M121" s="56">
        <v>6</v>
      </c>
      <c r="N121" s="1">
        <v>3.4</v>
      </c>
      <c r="O121" s="28">
        <v>2.3069999999999999</v>
      </c>
      <c r="P121" s="60">
        <v>14.6</v>
      </c>
      <c r="Q121" s="1">
        <v>77</v>
      </c>
      <c r="R121" s="60">
        <v>1.1000000000000001</v>
      </c>
      <c r="S121" s="1">
        <v>87</v>
      </c>
      <c r="T121" s="1">
        <v>56</v>
      </c>
      <c r="U121" s="1">
        <v>39</v>
      </c>
      <c r="V121" s="36">
        <v>5.7</v>
      </c>
    </row>
    <row r="122" spans="1:22" x14ac:dyDescent="0.2">
      <c r="A122" s="1">
        <v>12</v>
      </c>
      <c r="B122" s="1" t="s">
        <v>57</v>
      </c>
      <c r="C122" s="28">
        <v>2.387</v>
      </c>
      <c r="D122" s="1">
        <v>19</v>
      </c>
      <c r="E122" s="5">
        <v>1</v>
      </c>
      <c r="F122" s="5">
        <v>4</v>
      </c>
      <c r="G122" s="14">
        <v>2.722</v>
      </c>
      <c r="H122" s="9">
        <v>1.5229999999999999</v>
      </c>
      <c r="I122" s="15">
        <v>2.742</v>
      </c>
      <c r="J122" s="19">
        <f t="shared" si="3"/>
        <v>2.2329778506972926</v>
      </c>
      <c r="K122" s="19">
        <f t="shared" si="2"/>
        <v>6.4525408170384324</v>
      </c>
      <c r="L122" s="58">
        <v>5</v>
      </c>
      <c r="M122" s="58">
        <v>6</v>
      </c>
      <c r="N122" s="5">
        <v>3.4</v>
      </c>
      <c r="O122" s="53">
        <v>2.3069999999999999</v>
      </c>
      <c r="P122" s="62">
        <v>14.6</v>
      </c>
      <c r="Q122" s="5">
        <v>77</v>
      </c>
      <c r="R122" s="62">
        <v>1.1000000000000001</v>
      </c>
      <c r="S122" s="5">
        <v>87</v>
      </c>
      <c r="T122" s="5">
        <v>56</v>
      </c>
      <c r="U122" s="5">
        <v>39</v>
      </c>
      <c r="V122" s="43">
        <v>5.7</v>
      </c>
    </row>
    <row r="123" spans="1:22" x14ac:dyDescent="0.2">
      <c r="A123" s="1">
        <v>12</v>
      </c>
      <c r="B123" s="1" t="s">
        <v>58</v>
      </c>
      <c r="C123" s="28">
        <v>2.387</v>
      </c>
      <c r="D123" s="1">
        <v>19</v>
      </c>
      <c r="E123" s="26">
        <v>2</v>
      </c>
      <c r="F123" s="26">
        <v>0</v>
      </c>
      <c r="G123" s="21">
        <v>23.968499999999999</v>
      </c>
      <c r="H123" s="22">
        <v>13.36</v>
      </c>
      <c r="I123" s="23">
        <v>24.222999999999999</v>
      </c>
      <c r="J123" s="24">
        <f t="shared" si="3"/>
        <v>2.2064346865506765</v>
      </c>
      <c r="K123" s="24">
        <f t="shared" si="2"/>
        <v>7.56452926054979</v>
      </c>
      <c r="L123" s="56">
        <v>5</v>
      </c>
      <c r="M123" s="56">
        <v>6</v>
      </c>
      <c r="N123" s="1">
        <v>3.4</v>
      </c>
      <c r="O123" s="28">
        <v>2.3069999999999999</v>
      </c>
      <c r="P123" s="60">
        <v>14.6</v>
      </c>
      <c r="Q123" s="1">
        <v>77</v>
      </c>
      <c r="R123" s="60">
        <v>1.1000000000000001</v>
      </c>
      <c r="S123" s="1">
        <v>87</v>
      </c>
      <c r="T123" s="1">
        <v>56</v>
      </c>
      <c r="U123" s="1">
        <v>39</v>
      </c>
      <c r="V123" s="36">
        <v>5.7</v>
      </c>
    </row>
    <row r="124" spans="1:22" x14ac:dyDescent="0.2">
      <c r="A124" s="1">
        <v>12</v>
      </c>
      <c r="B124" s="1" t="s">
        <v>58</v>
      </c>
      <c r="C124" s="28">
        <v>2.387</v>
      </c>
      <c r="D124" s="1">
        <v>19</v>
      </c>
      <c r="E124" s="1">
        <v>2</v>
      </c>
      <c r="F124" s="1">
        <v>1</v>
      </c>
      <c r="G124" s="11">
        <v>2.7450000000000001</v>
      </c>
      <c r="H124" s="12">
        <v>1.5409999999999999</v>
      </c>
      <c r="I124" s="13">
        <v>2.7665000000000002</v>
      </c>
      <c r="J124" s="18">
        <f t="shared" si="3"/>
        <v>2.2399020807833532</v>
      </c>
      <c r="K124" s="18">
        <f t="shared" si="2"/>
        <v>6.1624599588038009</v>
      </c>
      <c r="L124" s="56">
        <v>5</v>
      </c>
      <c r="M124" s="56">
        <v>6</v>
      </c>
      <c r="N124" s="1">
        <v>3.4</v>
      </c>
      <c r="O124" s="28">
        <v>2.3069999999999999</v>
      </c>
      <c r="P124" s="60">
        <v>14.6</v>
      </c>
      <c r="Q124" s="1">
        <v>77</v>
      </c>
      <c r="R124" s="60">
        <v>1.1000000000000001</v>
      </c>
      <c r="S124" s="1">
        <v>87</v>
      </c>
      <c r="T124" s="1">
        <v>56</v>
      </c>
      <c r="U124" s="1">
        <v>39</v>
      </c>
      <c r="V124" s="36">
        <v>5.7</v>
      </c>
    </row>
    <row r="125" spans="1:22" x14ac:dyDescent="0.2">
      <c r="A125" s="1">
        <v>12</v>
      </c>
      <c r="B125" s="1" t="s">
        <v>58</v>
      </c>
      <c r="C125" s="28">
        <v>2.387</v>
      </c>
      <c r="D125" s="1">
        <v>19</v>
      </c>
      <c r="E125" s="1">
        <v>2</v>
      </c>
      <c r="F125" s="1">
        <v>2</v>
      </c>
      <c r="G125" s="11">
        <v>2.7395</v>
      </c>
      <c r="H125" s="12">
        <v>1.5449999999999999</v>
      </c>
      <c r="I125" s="13">
        <v>2.7715000000000001</v>
      </c>
      <c r="J125" s="18">
        <f t="shared" si="3"/>
        <v>2.2335915205870362</v>
      </c>
      <c r="K125" s="18">
        <f t="shared" si="2"/>
        <v>6.4268319821099151</v>
      </c>
      <c r="L125" s="56">
        <v>5</v>
      </c>
      <c r="M125" s="56">
        <v>6</v>
      </c>
      <c r="N125" s="1">
        <v>3.4</v>
      </c>
      <c r="O125" s="28">
        <v>2.3069999999999999</v>
      </c>
      <c r="P125" s="60">
        <v>14.6</v>
      </c>
      <c r="Q125" s="1">
        <v>77</v>
      </c>
      <c r="R125" s="60">
        <v>1.1000000000000001</v>
      </c>
      <c r="S125" s="1">
        <v>87</v>
      </c>
      <c r="T125" s="1">
        <v>56</v>
      </c>
      <c r="U125" s="1">
        <v>39</v>
      </c>
      <c r="V125" s="36">
        <v>5.7</v>
      </c>
    </row>
    <row r="126" spans="1:22" x14ac:dyDescent="0.2">
      <c r="A126" s="1">
        <v>12</v>
      </c>
      <c r="B126" s="1" t="s">
        <v>58</v>
      </c>
      <c r="C126" s="28">
        <v>2.387</v>
      </c>
      <c r="D126" s="1">
        <v>19</v>
      </c>
      <c r="E126" s="1">
        <v>2</v>
      </c>
      <c r="F126" s="1">
        <v>3</v>
      </c>
      <c r="G126" s="11">
        <v>2.7974999999999999</v>
      </c>
      <c r="H126" s="12">
        <v>1.569</v>
      </c>
      <c r="I126" s="13">
        <v>2.8184999999999998</v>
      </c>
      <c r="J126" s="18">
        <f t="shared" si="3"/>
        <v>2.2388955582232897</v>
      </c>
      <c r="K126" s="18">
        <f t="shared" si="2"/>
        <v>6.2046268025433786</v>
      </c>
      <c r="L126" s="56">
        <v>5</v>
      </c>
      <c r="M126" s="56">
        <v>6</v>
      </c>
      <c r="N126" s="1">
        <v>3.4</v>
      </c>
      <c r="O126" s="28">
        <v>2.3069999999999999</v>
      </c>
      <c r="P126" s="60">
        <v>14.6</v>
      </c>
      <c r="Q126" s="1">
        <v>77</v>
      </c>
      <c r="R126" s="60">
        <v>1.1000000000000001</v>
      </c>
      <c r="S126" s="1">
        <v>87</v>
      </c>
      <c r="T126" s="1">
        <v>56</v>
      </c>
      <c r="U126" s="1">
        <v>39</v>
      </c>
      <c r="V126" s="36">
        <v>5.7</v>
      </c>
    </row>
    <row r="127" spans="1:22" ht="16" thickBot="1" x14ac:dyDescent="0.25">
      <c r="A127" s="1">
        <v>12</v>
      </c>
      <c r="B127" s="1" t="s">
        <v>58</v>
      </c>
      <c r="C127" s="29">
        <v>2.387</v>
      </c>
      <c r="D127" s="2">
        <v>19</v>
      </c>
      <c r="E127" s="2">
        <v>2</v>
      </c>
      <c r="F127" s="2">
        <v>4</v>
      </c>
      <c r="G127" s="16">
        <v>2.7124999999999999</v>
      </c>
      <c r="H127" s="10">
        <v>1.5175000000000001</v>
      </c>
      <c r="I127" s="17">
        <v>2.7309999999999999</v>
      </c>
      <c r="J127" s="20">
        <f t="shared" si="3"/>
        <v>2.235269880510919</v>
      </c>
      <c r="K127" s="20">
        <f t="shared" si="2"/>
        <v>6.3565194591152512</v>
      </c>
      <c r="L127" s="57">
        <v>5</v>
      </c>
      <c r="M127" s="57">
        <v>6</v>
      </c>
      <c r="N127" s="2">
        <v>3.4</v>
      </c>
      <c r="O127" s="29">
        <v>2.3069999999999999</v>
      </c>
      <c r="P127" s="61">
        <v>14.6</v>
      </c>
      <c r="Q127" s="2">
        <v>77</v>
      </c>
      <c r="R127" s="61">
        <v>1.1000000000000001</v>
      </c>
      <c r="S127" s="2">
        <v>87</v>
      </c>
      <c r="T127" s="2">
        <v>56</v>
      </c>
      <c r="U127" s="2">
        <v>39</v>
      </c>
      <c r="V127" s="4">
        <v>5.7</v>
      </c>
    </row>
    <row r="128" spans="1:22" x14ac:dyDescent="0.2">
      <c r="A128" s="1">
        <v>13</v>
      </c>
      <c r="B128" s="1" t="s">
        <v>59</v>
      </c>
      <c r="C128" s="54">
        <v>2.3780000000000001</v>
      </c>
      <c r="D128" s="1">
        <v>19</v>
      </c>
      <c r="E128" s="26">
        <v>1</v>
      </c>
      <c r="F128" s="26">
        <v>0</v>
      </c>
      <c r="G128" s="21">
        <v>24.011500000000002</v>
      </c>
      <c r="H128" s="22">
        <v>13.3445</v>
      </c>
      <c r="I128" s="23">
        <v>24.28</v>
      </c>
      <c r="J128" s="24">
        <f t="shared" si="3"/>
        <v>2.1957386493530247</v>
      </c>
      <c r="K128" s="24">
        <f t="shared" si="2"/>
        <v>7.6644806832201651</v>
      </c>
      <c r="L128" s="56">
        <v>5.15</v>
      </c>
      <c r="M128" s="56">
        <v>6.01</v>
      </c>
      <c r="N128" s="1">
        <v>3.2</v>
      </c>
      <c r="O128" s="28">
        <v>2.302</v>
      </c>
      <c r="P128" s="60">
        <v>14.8</v>
      </c>
      <c r="Q128" s="1">
        <v>78</v>
      </c>
      <c r="R128" s="60">
        <v>1.1000000000000001</v>
      </c>
      <c r="S128" s="1">
        <v>88</v>
      </c>
      <c r="T128" s="1">
        <v>50</v>
      </c>
      <c r="U128" s="1">
        <v>35</v>
      </c>
      <c r="V128" s="36">
        <v>5.5</v>
      </c>
    </row>
    <row r="129" spans="1:22" x14ac:dyDescent="0.2">
      <c r="A129" s="1">
        <v>13</v>
      </c>
      <c r="B129" s="1" t="s">
        <v>59</v>
      </c>
      <c r="C129" s="54">
        <v>2.3780000000000001</v>
      </c>
      <c r="D129" s="1">
        <v>19</v>
      </c>
      <c r="E129" s="1">
        <v>1</v>
      </c>
      <c r="F129" s="1">
        <v>1</v>
      </c>
      <c r="G129" s="11">
        <v>2.7210000000000001</v>
      </c>
      <c r="H129" s="12">
        <v>1.5065</v>
      </c>
      <c r="I129" s="13">
        <v>2.7244999999999999</v>
      </c>
      <c r="J129" s="18">
        <f t="shared" si="3"/>
        <v>2.2339901477832513</v>
      </c>
      <c r="K129" s="18">
        <f t="shared" si="2"/>
        <v>6.0559231377943163</v>
      </c>
      <c r="L129" s="56">
        <v>5.15</v>
      </c>
      <c r="M129" s="56">
        <v>6.01</v>
      </c>
      <c r="N129" s="1">
        <v>3.2</v>
      </c>
      <c r="O129" s="28">
        <v>2.302</v>
      </c>
      <c r="P129" s="60">
        <v>14.8</v>
      </c>
      <c r="Q129" s="1">
        <v>78</v>
      </c>
      <c r="R129" s="60">
        <v>1.1000000000000001</v>
      </c>
      <c r="S129" s="1">
        <v>88</v>
      </c>
      <c r="T129" s="1">
        <v>50</v>
      </c>
      <c r="U129" s="1">
        <v>35</v>
      </c>
      <c r="V129" s="36">
        <v>5.5</v>
      </c>
    </row>
    <row r="130" spans="1:22" x14ac:dyDescent="0.2">
      <c r="A130" s="1">
        <v>13</v>
      </c>
      <c r="B130" s="1" t="s">
        <v>59</v>
      </c>
      <c r="C130" s="54">
        <v>2.3780000000000001</v>
      </c>
      <c r="D130" s="1">
        <v>19</v>
      </c>
      <c r="E130" s="1">
        <v>1</v>
      </c>
      <c r="F130" s="1">
        <v>2</v>
      </c>
      <c r="G130" s="11">
        <v>2.6915</v>
      </c>
      <c r="H130" s="12">
        <v>1.4755</v>
      </c>
      <c r="I130" s="13">
        <v>2.6920000000000002</v>
      </c>
      <c r="J130" s="18">
        <f t="shared" si="3"/>
        <v>2.2124948623099052</v>
      </c>
      <c r="K130" s="18">
        <f t="shared" si="2"/>
        <v>6.9598459920140794</v>
      </c>
      <c r="L130" s="56">
        <v>5.15</v>
      </c>
      <c r="M130" s="56">
        <v>6.01</v>
      </c>
      <c r="N130" s="1">
        <v>3.2</v>
      </c>
      <c r="O130" s="28">
        <v>2.302</v>
      </c>
      <c r="P130" s="60">
        <v>14.8</v>
      </c>
      <c r="Q130" s="1">
        <v>78</v>
      </c>
      <c r="R130" s="60">
        <v>1.1000000000000001</v>
      </c>
      <c r="S130" s="1">
        <v>88</v>
      </c>
      <c r="T130" s="1">
        <v>50</v>
      </c>
      <c r="U130" s="1">
        <v>35</v>
      </c>
      <c r="V130" s="36">
        <v>5.5</v>
      </c>
    </row>
    <row r="131" spans="1:22" x14ac:dyDescent="0.2">
      <c r="A131" s="1">
        <v>13</v>
      </c>
      <c r="B131" s="1" t="s">
        <v>59</v>
      </c>
      <c r="C131" s="54">
        <v>2.3780000000000001</v>
      </c>
      <c r="D131" s="1">
        <v>19</v>
      </c>
      <c r="E131" s="1">
        <v>1</v>
      </c>
      <c r="F131" s="1">
        <v>3</v>
      </c>
      <c r="G131" s="11">
        <v>2.6989999999999998</v>
      </c>
      <c r="H131" s="12">
        <v>1.4830000000000001</v>
      </c>
      <c r="I131" s="13">
        <v>2.7065000000000001</v>
      </c>
      <c r="J131" s="18">
        <f t="shared" si="3"/>
        <v>2.205966489579076</v>
      </c>
      <c r="K131" s="18">
        <f t="shared" si="2"/>
        <v>7.2343780664812503</v>
      </c>
      <c r="L131" s="56">
        <v>5.15</v>
      </c>
      <c r="M131" s="56">
        <v>6.01</v>
      </c>
      <c r="N131" s="1">
        <v>3.2</v>
      </c>
      <c r="O131" s="28">
        <v>2.302</v>
      </c>
      <c r="P131" s="60">
        <v>14.8</v>
      </c>
      <c r="Q131" s="1">
        <v>78</v>
      </c>
      <c r="R131" s="60">
        <v>1.1000000000000001</v>
      </c>
      <c r="S131" s="1">
        <v>88</v>
      </c>
      <c r="T131" s="1">
        <v>50</v>
      </c>
      <c r="U131" s="1">
        <v>35</v>
      </c>
      <c r="V131" s="36">
        <v>5.5</v>
      </c>
    </row>
    <row r="132" spans="1:22" x14ac:dyDescent="0.2">
      <c r="A132" s="1">
        <v>13</v>
      </c>
      <c r="B132" s="1" t="s">
        <v>59</v>
      </c>
      <c r="C132" s="54">
        <v>2.3780000000000001</v>
      </c>
      <c r="D132" s="1">
        <v>19</v>
      </c>
      <c r="E132" s="5">
        <v>1</v>
      </c>
      <c r="F132" s="5">
        <v>4</v>
      </c>
      <c r="G132" s="14">
        <v>2.7629999999999999</v>
      </c>
      <c r="H132" s="9">
        <v>1.5309999999999999</v>
      </c>
      <c r="I132" s="15">
        <v>2.7665000000000002</v>
      </c>
      <c r="J132" s="19">
        <f t="shared" si="3"/>
        <v>2.2363415621205984</v>
      </c>
      <c r="K132" s="19">
        <f t="shared" si="2"/>
        <v>5.9570411219260544</v>
      </c>
      <c r="L132" s="58">
        <v>5.15</v>
      </c>
      <c r="M132" s="58">
        <v>6.01</v>
      </c>
      <c r="N132" s="5">
        <v>3.2</v>
      </c>
      <c r="O132" s="53">
        <v>2.302</v>
      </c>
      <c r="P132" s="62">
        <v>14.8</v>
      </c>
      <c r="Q132" s="5">
        <v>78</v>
      </c>
      <c r="R132" s="62">
        <v>1.1000000000000001</v>
      </c>
      <c r="S132" s="5">
        <v>88</v>
      </c>
      <c r="T132" s="5">
        <v>50</v>
      </c>
      <c r="U132" s="5">
        <v>35</v>
      </c>
      <c r="V132" s="43">
        <v>5.5</v>
      </c>
    </row>
    <row r="133" spans="1:22" x14ac:dyDescent="0.2">
      <c r="A133" s="1">
        <v>13</v>
      </c>
      <c r="B133" s="1" t="s">
        <v>60</v>
      </c>
      <c r="C133" s="54">
        <v>2.3780000000000001</v>
      </c>
      <c r="D133" s="1">
        <v>19</v>
      </c>
      <c r="E133" s="26">
        <v>2</v>
      </c>
      <c r="F133" s="26">
        <v>0</v>
      </c>
      <c r="G133" s="21">
        <v>24.089500000000001</v>
      </c>
      <c r="H133" s="22">
        <v>13.3535</v>
      </c>
      <c r="I133" s="23">
        <v>24.326000000000001</v>
      </c>
      <c r="J133" s="24">
        <f t="shared" si="3"/>
        <v>2.1954431533378904</v>
      </c>
      <c r="K133" s="24">
        <f t="shared" si="2"/>
        <v>7.6769069243948547</v>
      </c>
      <c r="L133" s="56">
        <v>5.15</v>
      </c>
      <c r="M133" s="56">
        <v>6.01</v>
      </c>
      <c r="N133" s="1">
        <v>3.2</v>
      </c>
      <c r="O133" s="28">
        <v>2.302</v>
      </c>
      <c r="P133" s="60">
        <v>14.8</v>
      </c>
      <c r="Q133" s="1">
        <v>78</v>
      </c>
      <c r="R133" s="60">
        <v>1.1000000000000001</v>
      </c>
      <c r="S133" s="1">
        <v>88</v>
      </c>
      <c r="T133" s="1">
        <v>50</v>
      </c>
      <c r="U133" s="1">
        <v>35</v>
      </c>
      <c r="V133" s="36">
        <v>5.5</v>
      </c>
    </row>
    <row r="134" spans="1:22" x14ac:dyDescent="0.2">
      <c r="A134" s="1">
        <v>13</v>
      </c>
      <c r="B134" s="1" t="s">
        <v>60</v>
      </c>
      <c r="C134" s="54">
        <v>2.3780000000000001</v>
      </c>
      <c r="D134" s="1">
        <v>19</v>
      </c>
      <c r="E134" s="1">
        <v>2</v>
      </c>
      <c r="F134" s="1">
        <v>1</v>
      </c>
      <c r="G134" s="11">
        <v>2.7749999999999999</v>
      </c>
      <c r="H134" s="12">
        <v>1.5325</v>
      </c>
      <c r="I134" s="13">
        <v>2.78</v>
      </c>
      <c r="J134" s="18">
        <f t="shared" si="3"/>
        <v>2.2244488977955914</v>
      </c>
      <c r="K134" s="18">
        <f t="shared" si="2"/>
        <v>6.4571531625066791</v>
      </c>
      <c r="L134" s="56">
        <v>5.15</v>
      </c>
      <c r="M134" s="56">
        <v>6.01</v>
      </c>
      <c r="N134" s="1">
        <v>3.2</v>
      </c>
      <c r="O134" s="28">
        <v>2.302</v>
      </c>
      <c r="P134" s="60">
        <v>14.8</v>
      </c>
      <c r="Q134" s="1">
        <v>78</v>
      </c>
      <c r="R134" s="60">
        <v>1.1000000000000001</v>
      </c>
      <c r="S134" s="1">
        <v>88</v>
      </c>
      <c r="T134" s="1">
        <v>50</v>
      </c>
      <c r="U134" s="1">
        <v>35</v>
      </c>
      <c r="V134" s="36">
        <v>5.5</v>
      </c>
    </row>
    <row r="135" spans="1:22" x14ac:dyDescent="0.2">
      <c r="A135" s="1">
        <v>13</v>
      </c>
      <c r="B135" s="1" t="s">
        <v>60</v>
      </c>
      <c r="C135" s="54">
        <v>2.3780000000000001</v>
      </c>
      <c r="D135" s="1">
        <v>19</v>
      </c>
      <c r="E135" s="1">
        <v>2</v>
      </c>
      <c r="F135" s="1">
        <v>2</v>
      </c>
      <c r="G135" s="11">
        <v>2.6659999999999999</v>
      </c>
      <c r="H135" s="12">
        <v>1.46</v>
      </c>
      <c r="I135" s="13">
        <v>2.6709999999999998</v>
      </c>
      <c r="J135" s="18">
        <f t="shared" si="3"/>
        <v>2.2014863748967799</v>
      </c>
      <c r="K135" s="18">
        <f t="shared" si="2"/>
        <v>7.4227764971917631</v>
      </c>
      <c r="L135" s="56">
        <v>5.15</v>
      </c>
      <c r="M135" s="56">
        <v>6.01</v>
      </c>
      <c r="N135" s="1">
        <v>3.2</v>
      </c>
      <c r="O135" s="28">
        <v>2.302</v>
      </c>
      <c r="P135" s="60">
        <v>14.8</v>
      </c>
      <c r="Q135" s="1">
        <v>78</v>
      </c>
      <c r="R135" s="60">
        <v>1.1000000000000001</v>
      </c>
      <c r="S135" s="1">
        <v>88</v>
      </c>
      <c r="T135" s="1">
        <v>50</v>
      </c>
      <c r="U135" s="1">
        <v>35</v>
      </c>
      <c r="V135" s="36">
        <v>5.5</v>
      </c>
    </row>
    <row r="136" spans="1:22" x14ac:dyDescent="0.2">
      <c r="A136" s="1">
        <v>13</v>
      </c>
      <c r="B136" s="1" t="s">
        <v>60</v>
      </c>
      <c r="C136" s="54">
        <v>2.3780000000000001</v>
      </c>
      <c r="D136" s="1">
        <v>19</v>
      </c>
      <c r="E136" s="1">
        <v>2</v>
      </c>
      <c r="F136" s="1">
        <v>3</v>
      </c>
      <c r="G136" s="11">
        <v>2.7435</v>
      </c>
      <c r="H136" s="12">
        <v>1.516</v>
      </c>
      <c r="I136" s="13">
        <v>2.7469999999999999</v>
      </c>
      <c r="J136" s="18">
        <f t="shared" si="3"/>
        <v>2.2286758732737613</v>
      </c>
      <c r="K136" s="18">
        <f t="shared" ref="K136:K199" si="4">+IF(G136=0,"",(1-(J136/C136))*100)</f>
        <v>6.2793997782270345</v>
      </c>
      <c r="L136" s="56">
        <v>5.15</v>
      </c>
      <c r="M136" s="56">
        <v>6.01</v>
      </c>
      <c r="N136" s="1">
        <v>3.2</v>
      </c>
      <c r="O136" s="28">
        <v>2.302</v>
      </c>
      <c r="P136" s="60">
        <v>14.8</v>
      </c>
      <c r="Q136" s="1">
        <v>78</v>
      </c>
      <c r="R136" s="60">
        <v>1.1000000000000001</v>
      </c>
      <c r="S136" s="1">
        <v>88</v>
      </c>
      <c r="T136" s="1">
        <v>50</v>
      </c>
      <c r="U136" s="1">
        <v>35</v>
      </c>
      <c r="V136" s="36">
        <v>5.5</v>
      </c>
    </row>
    <row r="137" spans="1:22" ht="16" thickBot="1" x14ac:dyDescent="0.25">
      <c r="A137" s="1">
        <v>13</v>
      </c>
      <c r="B137" s="1" t="s">
        <v>60</v>
      </c>
      <c r="C137" s="55">
        <v>2.3780000000000001</v>
      </c>
      <c r="D137" s="2">
        <v>19</v>
      </c>
      <c r="E137" s="2">
        <v>2</v>
      </c>
      <c r="F137" s="2">
        <v>4</v>
      </c>
      <c r="G137" s="16">
        <v>2.7324999999999999</v>
      </c>
      <c r="H137" s="10">
        <v>1.5065</v>
      </c>
      <c r="I137" s="17">
        <v>2.7360000000000002</v>
      </c>
      <c r="J137" s="20">
        <f t="shared" si="3"/>
        <v>2.2224481496543307</v>
      </c>
      <c r="K137" s="20">
        <f t="shared" si="4"/>
        <v>6.5412889127699492</v>
      </c>
      <c r="L137" s="57">
        <v>5.15</v>
      </c>
      <c r="M137" s="57">
        <v>6.01</v>
      </c>
      <c r="N137" s="2">
        <v>3.2</v>
      </c>
      <c r="O137" s="29">
        <v>2.302</v>
      </c>
      <c r="P137" s="61">
        <v>14.8</v>
      </c>
      <c r="Q137" s="2">
        <v>78</v>
      </c>
      <c r="R137" s="61">
        <v>1.1000000000000001</v>
      </c>
      <c r="S137" s="2">
        <v>88</v>
      </c>
      <c r="T137" s="2">
        <v>50</v>
      </c>
      <c r="U137" s="2">
        <v>35</v>
      </c>
      <c r="V137" s="4">
        <v>5.5</v>
      </c>
    </row>
    <row r="138" spans="1:22" x14ac:dyDescent="0.2">
      <c r="A138" s="1">
        <v>14</v>
      </c>
      <c r="B138" s="1" t="s">
        <v>61</v>
      </c>
      <c r="C138" s="28">
        <v>2.363</v>
      </c>
      <c r="D138" s="1">
        <v>19</v>
      </c>
      <c r="E138" s="26">
        <v>1</v>
      </c>
      <c r="F138" s="26">
        <v>0</v>
      </c>
      <c r="G138" s="21">
        <v>24.040500000000002</v>
      </c>
      <c r="H138" s="22">
        <v>13.240500000000001</v>
      </c>
      <c r="I138" s="23">
        <v>24.277999999999999</v>
      </c>
      <c r="J138" s="24">
        <f>+IF(G138=0,"",G138/(I138-H138))</f>
        <v>2.1780747451868634</v>
      </c>
      <c r="K138" s="24">
        <f t="shared" si="4"/>
        <v>7.8258677449486447</v>
      </c>
      <c r="L138" s="56">
        <v>5.46</v>
      </c>
      <c r="M138" s="56">
        <v>6.02</v>
      </c>
      <c r="N138" s="1">
        <v>2.5</v>
      </c>
      <c r="O138" s="28">
        <v>2.3039999999999998</v>
      </c>
      <c r="P138" s="60">
        <v>14.8</v>
      </c>
      <c r="Q138" s="1">
        <v>83</v>
      </c>
      <c r="R138" s="60">
        <v>0.9</v>
      </c>
      <c r="S138" s="1">
        <v>85</v>
      </c>
      <c r="T138" s="1">
        <v>51</v>
      </c>
      <c r="U138" s="1">
        <v>36</v>
      </c>
      <c r="V138" s="36">
        <v>5.0999999999999996</v>
      </c>
    </row>
    <row r="139" spans="1:22" x14ac:dyDescent="0.2">
      <c r="A139" s="1">
        <v>14</v>
      </c>
      <c r="B139" s="1" t="s">
        <v>61</v>
      </c>
      <c r="C139" s="28">
        <v>2.363</v>
      </c>
      <c r="D139" s="1">
        <v>19</v>
      </c>
      <c r="E139" s="1">
        <v>1</v>
      </c>
      <c r="F139" s="1">
        <v>1</v>
      </c>
      <c r="G139" s="11">
        <v>2.6920000000000002</v>
      </c>
      <c r="H139" s="12">
        <v>1.482</v>
      </c>
      <c r="I139" s="13">
        <v>2.6985000000000001</v>
      </c>
      <c r="J139" s="18">
        <f>+IF(G139=0,"",G139/(I139-H139))</f>
        <v>2.2129058775174681</v>
      </c>
      <c r="K139" s="18">
        <f t="shared" si="4"/>
        <v>6.351846063585775</v>
      </c>
      <c r="L139" s="56">
        <v>5.46</v>
      </c>
      <c r="M139" s="56">
        <v>6.02</v>
      </c>
      <c r="N139" s="1">
        <v>2.5</v>
      </c>
      <c r="O139" s="28">
        <v>2.3039999999999998</v>
      </c>
      <c r="P139" s="60">
        <v>14.8</v>
      </c>
      <c r="Q139" s="1">
        <v>83</v>
      </c>
      <c r="R139" s="60">
        <v>0.9</v>
      </c>
      <c r="S139" s="1">
        <v>85</v>
      </c>
      <c r="T139" s="1">
        <v>51</v>
      </c>
      <c r="U139" s="1">
        <v>36</v>
      </c>
      <c r="V139" s="36">
        <v>5.0999999999999996</v>
      </c>
    </row>
    <row r="140" spans="1:22" x14ac:dyDescent="0.2">
      <c r="A140" s="1">
        <v>14</v>
      </c>
      <c r="B140" s="1" t="s">
        <v>61</v>
      </c>
      <c r="C140" s="28">
        <v>2.363</v>
      </c>
      <c r="D140" s="1">
        <v>19</v>
      </c>
      <c r="E140" s="1">
        <v>1</v>
      </c>
      <c r="F140" s="1">
        <v>2</v>
      </c>
      <c r="G140" s="11">
        <v>2.589</v>
      </c>
      <c r="H140" s="12">
        <v>1.42</v>
      </c>
      <c r="I140" s="13">
        <v>2.593</v>
      </c>
      <c r="J140" s="18">
        <f t="shared" ref="J140:J203" si="5">+IF(G140=0,"",G140/(I140-H140))</f>
        <v>2.207161125319693</v>
      </c>
      <c r="K140" s="18">
        <f t="shared" si="4"/>
        <v>6.5949587253621207</v>
      </c>
      <c r="L140" s="56">
        <v>5.46</v>
      </c>
      <c r="M140" s="56">
        <v>6.02</v>
      </c>
      <c r="N140" s="1">
        <v>2.5</v>
      </c>
      <c r="O140" s="28">
        <v>2.3039999999999998</v>
      </c>
      <c r="P140" s="60">
        <v>14.8</v>
      </c>
      <c r="Q140" s="1">
        <v>83</v>
      </c>
      <c r="R140" s="60">
        <v>0.9</v>
      </c>
      <c r="S140" s="1">
        <v>85</v>
      </c>
      <c r="T140" s="1">
        <v>51</v>
      </c>
      <c r="U140" s="1">
        <v>36</v>
      </c>
      <c r="V140" s="36">
        <v>5.0999999999999996</v>
      </c>
    </row>
    <row r="141" spans="1:22" x14ac:dyDescent="0.2">
      <c r="A141" s="1">
        <v>14</v>
      </c>
      <c r="B141" s="1" t="s">
        <v>61</v>
      </c>
      <c r="C141" s="28">
        <v>2.363</v>
      </c>
      <c r="D141" s="1">
        <v>19</v>
      </c>
      <c r="E141" s="1">
        <v>1</v>
      </c>
      <c r="F141" s="1">
        <v>3</v>
      </c>
      <c r="G141" s="11">
        <v>2.6675</v>
      </c>
      <c r="H141" s="12">
        <v>1.4670000000000001</v>
      </c>
      <c r="I141" s="13">
        <v>2.6715</v>
      </c>
      <c r="J141" s="18">
        <f t="shared" si="5"/>
        <v>2.214611872146119</v>
      </c>
      <c r="K141" s="18">
        <f t="shared" si="4"/>
        <v>6.2796499303377491</v>
      </c>
      <c r="L141" s="56">
        <v>5.46</v>
      </c>
      <c r="M141" s="56">
        <v>6.02</v>
      </c>
      <c r="N141" s="1">
        <v>2.5</v>
      </c>
      <c r="O141" s="28">
        <v>2.3039999999999998</v>
      </c>
      <c r="P141" s="60">
        <v>14.8</v>
      </c>
      <c r="Q141" s="1">
        <v>83</v>
      </c>
      <c r="R141" s="60">
        <v>0.9</v>
      </c>
      <c r="S141" s="1">
        <v>85</v>
      </c>
      <c r="T141" s="1">
        <v>51</v>
      </c>
      <c r="U141" s="1">
        <v>36</v>
      </c>
      <c r="V141" s="36">
        <v>5.0999999999999996</v>
      </c>
    </row>
    <row r="142" spans="1:22" x14ac:dyDescent="0.2">
      <c r="A142" s="1">
        <v>14</v>
      </c>
      <c r="B142" s="1" t="s">
        <v>61</v>
      </c>
      <c r="C142" s="28">
        <v>2.363</v>
      </c>
      <c r="D142" s="1">
        <v>19</v>
      </c>
      <c r="E142" s="5">
        <v>1</v>
      </c>
      <c r="F142" s="5">
        <v>4</v>
      </c>
      <c r="G142" s="14">
        <v>2.5975000000000001</v>
      </c>
      <c r="H142" s="9">
        <v>1.4225000000000001</v>
      </c>
      <c r="I142" s="15">
        <v>2.5954999999999999</v>
      </c>
      <c r="J142" s="19">
        <f t="shared" si="5"/>
        <v>2.2144075021312877</v>
      </c>
      <c r="K142" s="19">
        <f t="shared" si="4"/>
        <v>6.2882986825523624</v>
      </c>
      <c r="L142" s="58">
        <v>5.46</v>
      </c>
      <c r="M142" s="58">
        <v>6.02</v>
      </c>
      <c r="N142" s="5">
        <v>2.5</v>
      </c>
      <c r="O142" s="53">
        <v>2.3039999999999998</v>
      </c>
      <c r="P142" s="62">
        <v>14.8</v>
      </c>
      <c r="Q142" s="5">
        <v>83</v>
      </c>
      <c r="R142" s="62">
        <v>0.9</v>
      </c>
      <c r="S142" s="5">
        <v>85</v>
      </c>
      <c r="T142" s="5">
        <v>51</v>
      </c>
      <c r="U142" s="5">
        <v>36</v>
      </c>
      <c r="V142" s="43">
        <v>5.0999999999999996</v>
      </c>
    </row>
    <row r="143" spans="1:22" x14ac:dyDescent="0.2">
      <c r="A143" s="1">
        <v>14</v>
      </c>
      <c r="B143" s="1" t="s">
        <v>62</v>
      </c>
      <c r="C143" s="28">
        <v>2.363</v>
      </c>
      <c r="D143" s="1">
        <v>19</v>
      </c>
      <c r="E143" s="26">
        <v>2</v>
      </c>
      <c r="F143" s="26">
        <v>0</v>
      </c>
      <c r="G143" s="21">
        <v>23.866</v>
      </c>
      <c r="H143" s="22">
        <v>13.161</v>
      </c>
      <c r="I143" s="23">
        <v>24.125</v>
      </c>
      <c r="J143" s="24">
        <f t="shared" si="5"/>
        <v>2.176760306457497</v>
      </c>
      <c r="K143" s="24">
        <f t="shared" si="4"/>
        <v>7.8814935904571781</v>
      </c>
      <c r="L143" s="56">
        <v>5.46</v>
      </c>
      <c r="M143" s="56">
        <v>6.02</v>
      </c>
      <c r="N143" s="1">
        <v>2.5</v>
      </c>
      <c r="O143" s="28">
        <v>2.3039999999999998</v>
      </c>
      <c r="P143" s="60">
        <v>14.8</v>
      </c>
      <c r="Q143" s="1">
        <v>83</v>
      </c>
      <c r="R143" s="60">
        <v>0.9</v>
      </c>
      <c r="S143" s="1">
        <v>85</v>
      </c>
      <c r="T143" s="1">
        <v>51</v>
      </c>
      <c r="U143" s="1">
        <v>36</v>
      </c>
      <c r="V143" s="36">
        <v>5.0999999999999996</v>
      </c>
    </row>
    <row r="144" spans="1:22" x14ac:dyDescent="0.2">
      <c r="A144" s="1">
        <v>14</v>
      </c>
      <c r="B144" s="1" t="s">
        <v>62</v>
      </c>
      <c r="C144" s="28">
        <v>2.363</v>
      </c>
      <c r="D144" s="1">
        <v>19</v>
      </c>
      <c r="E144" s="1">
        <v>2</v>
      </c>
      <c r="F144" s="1">
        <v>1</v>
      </c>
      <c r="G144" s="11">
        <v>2.6215000000000002</v>
      </c>
      <c r="H144" s="12">
        <v>1.4365000000000001</v>
      </c>
      <c r="I144" s="13">
        <v>2.625</v>
      </c>
      <c r="J144" s="18">
        <f t="shared" si="5"/>
        <v>2.2057214976861594</v>
      </c>
      <c r="K144" s="18">
        <f t="shared" si="4"/>
        <v>6.655882450860795</v>
      </c>
      <c r="L144" s="56">
        <v>5.46</v>
      </c>
      <c r="M144" s="56">
        <v>6.02</v>
      </c>
      <c r="N144" s="1">
        <v>2.5</v>
      </c>
      <c r="O144" s="28">
        <v>2.3039999999999998</v>
      </c>
      <c r="P144" s="60">
        <v>14.8</v>
      </c>
      <c r="Q144" s="1">
        <v>83</v>
      </c>
      <c r="R144" s="60">
        <v>0.9</v>
      </c>
      <c r="S144" s="1">
        <v>85</v>
      </c>
      <c r="T144" s="1">
        <v>51</v>
      </c>
      <c r="U144" s="1">
        <v>36</v>
      </c>
      <c r="V144" s="36">
        <v>5.0999999999999996</v>
      </c>
    </row>
    <row r="145" spans="1:22" x14ac:dyDescent="0.2">
      <c r="A145" s="1">
        <v>14</v>
      </c>
      <c r="B145" s="1" t="s">
        <v>62</v>
      </c>
      <c r="C145" s="28">
        <v>2.363</v>
      </c>
      <c r="D145" s="1">
        <v>19</v>
      </c>
      <c r="E145" s="1">
        <v>2</v>
      </c>
      <c r="F145" s="1">
        <v>2</v>
      </c>
      <c r="G145" s="11">
        <v>2.5640000000000001</v>
      </c>
      <c r="H145" s="12">
        <v>1.4039999999999999</v>
      </c>
      <c r="I145" s="13">
        <v>2.57</v>
      </c>
      <c r="J145" s="18">
        <f t="shared" si="5"/>
        <v>2.1989708404802748</v>
      </c>
      <c r="K145" s="18">
        <f t="shared" si="4"/>
        <v>6.9415640930903582</v>
      </c>
      <c r="L145" s="56">
        <v>5.46</v>
      </c>
      <c r="M145" s="56">
        <v>6.02</v>
      </c>
      <c r="N145" s="1">
        <v>2.5</v>
      </c>
      <c r="O145" s="28">
        <v>2.3039999999999998</v>
      </c>
      <c r="P145" s="60">
        <v>14.8</v>
      </c>
      <c r="Q145" s="1">
        <v>83</v>
      </c>
      <c r="R145" s="60">
        <v>0.9</v>
      </c>
      <c r="S145" s="1">
        <v>85</v>
      </c>
      <c r="T145" s="1">
        <v>51</v>
      </c>
      <c r="U145" s="1">
        <v>36</v>
      </c>
      <c r="V145" s="36">
        <v>5.0999999999999996</v>
      </c>
    </row>
    <row r="146" spans="1:22" x14ac:dyDescent="0.2">
      <c r="A146" s="1">
        <v>14</v>
      </c>
      <c r="B146" s="1" t="s">
        <v>62</v>
      </c>
      <c r="C146" s="28">
        <v>2.363</v>
      </c>
      <c r="D146" s="1">
        <v>19</v>
      </c>
      <c r="E146" s="1">
        <v>2</v>
      </c>
      <c r="F146" s="1">
        <v>3</v>
      </c>
      <c r="G146" s="11">
        <v>2.597</v>
      </c>
      <c r="H146" s="12">
        <v>1.425</v>
      </c>
      <c r="I146" s="13">
        <v>2.6019999999999999</v>
      </c>
      <c r="J146" s="18">
        <f t="shared" si="5"/>
        <v>2.2064570943075621</v>
      </c>
      <c r="K146" s="18">
        <f t="shared" si="4"/>
        <v>6.6247526742462037</v>
      </c>
      <c r="L146" s="56">
        <v>5.46</v>
      </c>
      <c r="M146" s="56">
        <v>6.02</v>
      </c>
      <c r="N146" s="1">
        <v>2.5</v>
      </c>
      <c r="O146" s="28">
        <v>2.3039999999999998</v>
      </c>
      <c r="P146" s="60">
        <v>14.8</v>
      </c>
      <c r="Q146" s="1">
        <v>83</v>
      </c>
      <c r="R146" s="60">
        <v>0.9</v>
      </c>
      <c r="S146" s="1">
        <v>85</v>
      </c>
      <c r="T146" s="1">
        <v>51</v>
      </c>
      <c r="U146" s="1">
        <v>36</v>
      </c>
      <c r="V146" s="36">
        <v>5.0999999999999996</v>
      </c>
    </row>
    <row r="147" spans="1:22" ht="16" thickBot="1" x14ac:dyDescent="0.25">
      <c r="A147" s="1">
        <v>14</v>
      </c>
      <c r="B147" s="1" t="s">
        <v>62</v>
      </c>
      <c r="C147" s="29">
        <v>2.363</v>
      </c>
      <c r="D147" s="2">
        <v>19</v>
      </c>
      <c r="E147" s="2">
        <v>2</v>
      </c>
      <c r="F147" s="2">
        <v>4</v>
      </c>
      <c r="G147" s="16">
        <v>2.5920000000000001</v>
      </c>
      <c r="H147" s="10">
        <v>1.4195</v>
      </c>
      <c r="I147" s="17">
        <v>2.5960000000000001</v>
      </c>
      <c r="J147" s="20">
        <f t="shared" si="5"/>
        <v>2.2031449213769654</v>
      </c>
      <c r="K147" s="20">
        <f t="shared" si="4"/>
        <v>6.7649208050374332</v>
      </c>
      <c r="L147" s="57">
        <v>5.46</v>
      </c>
      <c r="M147" s="57">
        <v>6.02</v>
      </c>
      <c r="N147" s="2">
        <v>2.5</v>
      </c>
      <c r="O147" s="29">
        <v>2.3039999999999998</v>
      </c>
      <c r="P147" s="61">
        <v>14.8</v>
      </c>
      <c r="Q147" s="2">
        <v>83</v>
      </c>
      <c r="R147" s="61">
        <v>0.9</v>
      </c>
      <c r="S147" s="2">
        <v>85</v>
      </c>
      <c r="T147" s="2">
        <v>51</v>
      </c>
      <c r="U147" s="2">
        <v>36</v>
      </c>
      <c r="V147" s="4">
        <v>5.0999999999999996</v>
      </c>
    </row>
    <row r="148" spans="1:22" x14ac:dyDescent="0.2">
      <c r="A148" s="1">
        <v>15</v>
      </c>
      <c r="B148" s="1" t="s">
        <v>63</v>
      </c>
      <c r="C148" s="28">
        <v>2.3679999999999999</v>
      </c>
      <c r="D148" s="1">
        <v>19</v>
      </c>
      <c r="E148" s="26">
        <v>1</v>
      </c>
      <c r="F148" s="26">
        <v>0</v>
      </c>
      <c r="G148" s="21">
        <v>24.047999999999998</v>
      </c>
      <c r="H148" s="22">
        <v>13.241</v>
      </c>
      <c r="I148" s="23">
        <v>24.22</v>
      </c>
      <c r="J148" s="24">
        <f t="shared" si="5"/>
        <v>2.1903634210766008</v>
      </c>
      <c r="K148" s="24">
        <f t="shared" si="4"/>
        <v>7.5015447180489474</v>
      </c>
      <c r="L148" s="56">
        <v>5.34</v>
      </c>
      <c r="M148" s="56">
        <v>5.75</v>
      </c>
      <c r="N148" s="1">
        <v>3.3</v>
      </c>
      <c r="O148" s="28">
        <v>2.2890000000000001</v>
      </c>
      <c r="P148" s="60">
        <v>15.3</v>
      </c>
      <c r="Q148" s="1">
        <v>78</v>
      </c>
      <c r="R148" s="60">
        <v>0.9</v>
      </c>
      <c r="S148" s="1">
        <v>81</v>
      </c>
      <c r="T148" s="1">
        <v>50</v>
      </c>
      <c r="U148" s="1">
        <v>35</v>
      </c>
      <c r="V148" s="36">
        <v>4.7</v>
      </c>
    </row>
    <row r="149" spans="1:22" x14ac:dyDescent="0.2">
      <c r="A149" s="1">
        <v>15</v>
      </c>
      <c r="B149" s="1" t="s">
        <v>63</v>
      </c>
      <c r="C149" s="28">
        <v>2.3679999999999999</v>
      </c>
      <c r="D149" s="1">
        <v>19</v>
      </c>
      <c r="E149" s="1">
        <v>1</v>
      </c>
      <c r="F149" s="1">
        <v>1</v>
      </c>
      <c r="G149" s="11">
        <v>2.5834999999999999</v>
      </c>
      <c r="H149" s="12">
        <v>1.4195</v>
      </c>
      <c r="I149" s="13">
        <v>2.5870000000000002</v>
      </c>
      <c r="J149" s="18">
        <f t="shared" si="5"/>
        <v>2.2128479657387574</v>
      </c>
      <c r="K149" s="18">
        <f t="shared" si="4"/>
        <v>6.5520284738700418</v>
      </c>
      <c r="L149" s="56">
        <v>5.34</v>
      </c>
      <c r="M149" s="56">
        <v>5.75</v>
      </c>
      <c r="N149" s="1">
        <v>3.3</v>
      </c>
      <c r="O149" s="28">
        <v>2.2890000000000001</v>
      </c>
      <c r="P149" s="60">
        <v>15.3</v>
      </c>
      <c r="Q149" s="1">
        <v>78</v>
      </c>
      <c r="R149" s="60">
        <v>0.9</v>
      </c>
      <c r="S149" s="1">
        <v>81</v>
      </c>
      <c r="T149" s="1">
        <v>50</v>
      </c>
      <c r="U149" s="1">
        <v>35</v>
      </c>
      <c r="V149" s="36">
        <v>4.7</v>
      </c>
    </row>
    <row r="150" spans="1:22" x14ac:dyDescent="0.2">
      <c r="A150" s="1">
        <v>15</v>
      </c>
      <c r="B150" s="1" t="s">
        <v>63</v>
      </c>
      <c r="C150" s="28">
        <v>2.3679999999999999</v>
      </c>
      <c r="D150" s="1">
        <v>19</v>
      </c>
      <c r="E150" s="1">
        <v>1</v>
      </c>
      <c r="F150" s="1">
        <v>2</v>
      </c>
      <c r="G150" s="11">
        <v>2.7214999999999998</v>
      </c>
      <c r="H150" s="12">
        <v>1.494</v>
      </c>
      <c r="I150" s="13">
        <v>2.7280000000000002</v>
      </c>
      <c r="J150" s="18">
        <f t="shared" si="5"/>
        <v>2.2054294975688813</v>
      </c>
      <c r="K150" s="18">
        <f t="shared" si="4"/>
        <v>6.865308379692503</v>
      </c>
      <c r="L150" s="56">
        <v>5.34</v>
      </c>
      <c r="M150" s="56">
        <v>5.75</v>
      </c>
      <c r="N150" s="1">
        <v>3.3</v>
      </c>
      <c r="O150" s="28">
        <v>2.2890000000000001</v>
      </c>
      <c r="P150" s="60">
        <v>15.3</v>
      </c>
      <c r="Q150" s="1">
        <v>78</v>
      </c>
      <c r="R150" s="60">
        <v>0.9</v>
      </c>
      <c r="S150" s="1">
        <v>81</v>
      </c>
      <c r="T150" s="1">
        <v>50</v>
      </c>
      <c r="U150" s="1">
        <v>35</v>
      </c>
      <c r="V150" s="36">
        <v>4.7</v>
      </c>
    </row>
    <row r="151" spans="1:22" x14ac:dyDescent="0.2">
      <c r="A151" s="1">
        <v>15</v>
      </c>
      <c r="B151" s="1" t="s">
        <v>63</v>
      </c>
      <c r="C151" s="28">
        <v>2.3679999999999999</v>
      </c>
      <c r="D151" s="1">
        <v>19</v>
      </c>
      <c r="E151" s="1">
        <v>1</v>
      </c>
      <c r="F151" s="1">
        <v>3</v>
      </c>
      <c r="G151" s="11">
        <v>2.6230000000000002</v>
      </c>
      <c r="H151" s="12">
        <v>1.4365000000000001</v>
      </c>
      <c r="I151" s="13">
        <v>2.6265000000000001</v>
      </c>
      <c r="J151" s="18">
        <f t="shared" si="5"/>
        <v>2.2042016806722691</v>
      </c>
      <c r="K151" s="18">
        <f t="shared" si="4"/>
        <v>6.9171587553940377</v>
      </c>
      <c r="L151" s="56">
        <v>5.34</v>
      </c>
      <c r="M151" s="56">
        <v>5.75</v>
      </c>
      <c r="N151" s="1">
        <v>3.3</v>
      </c>
      <c r="O151" s="28">
        <v>2.2890000000000001</v>
      </c>
      <c r="P151" s="60">
        <v>15.3</v>
      </c>
      <c r="Q151" s="1">
        <v>78</v>
      </c>
      <c r="R151" s="60">
        <v>0.9</v>
      </c>
      <c r="S151" s="1">
        <v>81</v>
      </c>
      <c r="T151" s="1">
        <v>50</v>
      </c>
      <c r="U151" s="1">
        <v>35</v>
      </c>
      <c r="V151" s="36">
        <v>4.7</v>
      </c>
    </row>
    <row r="152" spans="1:22" x14ac:dyDescent="0.2">
      <c r="A152" s="1">
        <v>15</v>
      </c>
      <c r="B152" s="1" t="s">
        <v>63</v>
      </c>
      <c r="C152" s="28">
        <v>2.3679999999999999</v>
      </c>
      <c r="D152" s="1">
        <v>19</v>
      </c>
      <c r="E152" s="5">
        <v>1</v>
      </c>
      <c r="F152" s="5">
        <v>4</v>
      </c>
      <c r="G152" s="14">
        <v>2.6604999999999999</v>
      </c>
      <c r="H152" s="9">
        <v>1.4535</v>
      </c>
      <c r="I152" s="15">
        <v>2.6644999999999999</v>
      </c>
      <c r="J152" s="19">
        <f t="shared" si="5"/>
        <v>2.1969446738232867</v>
      </c>
      <c r="K152" s="19">
        <f t="shared" si="4"/>
        <v>7.2236201932733612</v>
      </c>
      <c r="L152" s="58">
        <v>5.34</v>
      </c>
      <c r="M152" s="58">
        <v>5.75</v>
      </c>
      <c r="N152" s="5">
        <v>3.3</v>
      </c>
      <c r="O152" s="53">
        <v>2.2890000000000001</v>
      </c>
      <c r="P152" s="62">
        <v>15.3</v>
      </c>
      <c r="Q152" s="5">
        <v>78</v>
      </c>
      <c r="R152" s="62">
        <v>0.9</v>
      </c>
      <c r="S152" s="5">
        <v>81</v>
      </c>
      <c r="T152" s="5">
        <v>50</v>
      </c>
      <c r="U152" s="5">
        <v>35</v>
      </c>
      <c r="V152" s="43">
        <v>4.7</v>
      </c>
    </row>
    <row r="153" spans="1:22" x14ac:dyDescent="0.2">
      <c r="A153" s="1">
        <v>15</v>
      </c>
      <c r="B153" s="1" t="s">
        <v>64</v>
      </c>
      <c r="C153" s="28">
        <v>2.3679999999999999</v>
      </c>
      <c r="D153" s="1">
        <v>19</v>
      </c>
      <c r="E153" s="26">
        <v>2</v>
      </c>
      <c r="F153" s="26">
        <v>0</v>
      </c>
      <c r="G153" s="21">
        <v>24.02</v>
      </c>
      <c r="H153" s="22">
        <v>13.236000000000001</v>
      </c>
      <c r="I153" s="23">
        <v>24.219000000000001</v>
      </c>
      <c r="J153" s="24">
        <f t="shared" si="5"/>
        <v>2.1870162979149592</v>
      </c>
      <c r="K153" s="24">
        <f t="shared" si="4"/>
        <v>7.6428928245371957</v>
      </c>
      <c r="L153" s="56">
        <v>5.34</v>
      </c>
      <c r="M153" s="56">
        <v>5.75</v>
      </c>
      <c r="N153" s="1">
        <v>3.3</v>
      </c>
      <c r="O153" s="28">
        <v>2.2890000000000001</v>
      </c>
      <c r="P153" s="60">
        <v>15.3</v>
      </c>
      <c r="Q153" s="1">
        <v>78</v>
      </c>
      <c r="R153" s="60">
        <v>0.9</v>
      </c>
      <c r="S153" s="1">
        <v>81</v>
      </c>
      <c r="T153" s="1">
        <v>50</v>
      </c>
      <c r="U153" s="1">
        <v>35</v>
      </c>
      <c r="V153" s="36">
        <v>4.7</v>
      </c>
    </row>
    <row r="154" spans="1:22" x14ac:dyDescent="0.2">
      <c r="A154" s="1">
        <v>15</v>
      </c>
      <c r="B154" s="1" t="s">
        <v>64</v>
      </c>
      <c r="C154" s="28">
        <v>2.3679999999999999</v>
      </c>
      <c r="D154" s="1">
        <v>19</v>
      </c>
      <c r="E154" s="1">
        <v>2</v>
      </c>
      <c r="F154" s="1">
        <v>1</v>
      </c>
      <c r="G154" s="11">
        <v>2.6429999999999998</v>
      </c>
      <c r="H154" s="12">
        <v>1.4564999999999999</v>
      </c>
      <c r="I154" s="13">
        <v>2.6475</v>
      </c>
      <c r="J154" s="18">
        <f t="shared" si="5"/>
        <v>2.219143576826196</v>
      </c>
      <c r="K154" s="18">
        <f t="shared" si="4"/>
        <v>6.2861665191640164</v>
      </c>
      <c r="L154" s="56">
        <v>5.34</v>
      </c>
      <c r="M154" s="56">
        <v>5.75</v>
      </c>
      <c r="N154" s="1">
        <v>3.3</v>
      </c>
      <c r="O154" s="28">
        <v>2.2890000000000001</v>
      </c>
      <c r="P154" s="60">
        <v>15.3</v>
      </c>
      <c r="Q154" s="1">
        <v>78</v>
      </c>
      <c r="R154" s="60">
        <v>0.9</v>
      </c>
      <c r="S154" s="1">
        <v>81</v>
      </c>
      <c r="T154" s="1">
        <v>50</v>
      </c>
      <c r="U154" s="1">
        <v>35</v>
      </c>
      <c r="V154" s="36">
        <v>4.7</v>
      </c>
    </row>
    <row r="155" spans="1:22" x14ac:dyDescent="0.2">
      <c r="A155" s="1">
        <v>15</v>
      </c>
      <c r="B155" s="1" t="s">
        <v>64</v>
      </c>
      <c r="C155" s="28">
        <v>2.3679999999999999</v>
      </c>
      <c r="D155" s="1">
        <v>19</v>
      </c>
      <c r="E155" s="1">
        <v>2</v>
      </c>
      <c r="F155" s="1">
        <v>2</v>
      </c>
      <c r="G155" s="11">
        <v>2.6964999999999999</v>
      </c>
      <c r="H155" s="12">
        <v>1.4824999999999999</v>
      </c>
      <c r="I155" s="13">
        <v>2.7014999999999998</v>
      </c>
      <c r="J155" s="18">
        <f t="shared" si="5"/>
        <v>2.2120590648072191</v>
      </c>
      <c r="K155" s="18">
        <f t="shared" si="4"/>
        <v>6.5853435469924282</v>
      </c>
      <c r="L155" s="56">
        <v>5.34</v>
      </c>
      <c r="M155" s="56">
        <v>5.75</v>
      </c>
      <c r="N155" s="1">
        <v>3.3</v>
      </c>
      <c r="O155" s="28">
        <v>2.2890000000000001</v>
      </c>
      <c r="P155" s="60">
        <v>15.3</v>
      </c>
      <c r="Q155" s="1">
        <v>78</v>
      </c>
      <c r="R155" s="60">
        <v>0.9</v>
      </c>
      <c r="S155" s="1">
        <v>81</v>
      </c>
      <c r="T155" s="1">
        <v>50</v>
      </c>
      <c r="U155" s="1">
        <v>35</v>
      </c>
      <c r="V155" s="36">
        <v>4.7</v>
      </c>
    </row>
    <row r="156" spans="1:22" x14ac:dyDescent="0.2">
      <c r="A156" s="1">
        <v>15</v>
      </c>
      <c r="B156" s="1" t="s">
        <v>64</v>
      </c>
      <c r="C156" s="28">
        <v>2.3679999999999999</v>
      </c>
      <c r="D156" s="1">
        <v>19</v>
      </c>
      <c r="E156" s="1">
        <v>2</v>
      </c>
      <c r="F156" s="1">
        <v>3</v>
      </c>
      <c r="G156" s="11">
        <v>2.6635</v>
      </c>
      <c r="H156" s="12">
        <v>1.472</v>
      </c>
      <c r="I156" s="13">
        <v>2.6749999999999998</v>
      </c>
      <c r="J156" s="18">
        <f t="shared" si="5"/>
        <v>2.2140482128013304</v>
      </c>
      <c r="K156" s="18">
        <f t="shared" si="4"/>
        <v>6.5013423648086821</v>
      </c>
      <c r="L156" s="56">
        <v>5.34</v>
      </c>
      <c r="M156" s="56">
        <v>5.75</v>
      </c>
      <c r="N156" s="1">
        <v>3.3</v>
      </c>
      <c r="O156" s="28">
        <v>2.2890000000000001</v>
      </c>
      <c r="P156" s="60">
        <v>15.3</v>
      </c>
      <c r="Q156" s="1">
        <v>78</v>
      </c>
      <c r="R156" s="60">
        <v>0.9</v>
      </c>
      <c r="S156" s="1">
        <v>81</v>
      </c>
      <c r="T156" s="1">
        <v>50</v>
      </c>
      <c r="U156" s="1">
        <v>35</v>
      </c>
      <c r="V156" s="36">
        <v>4.7</v>
      </c>
    </row>
    <row r="157" spans="1:22" ht="16" thickBot="1" x14ac:dyDescent="0.25">
      <c r="A157" s="1">
        <v>15</v>
      </c>
      <c r="B157" s="1" t="s">
        <v>64</v>
      </c>
      <c r="C157" s="29">
        <v>2.3679999999999999</v>
      </c>
      <c r="D157" s="2">
        <v>19</v>
      </c>
      <c r="E157" s="2">
        <v>2</v>
      </c>
      <c r="F157" s="2">
        <v>4</v>
      </c>
      <c r="G157" s="16">
        <v>2.5895000000000001</v>
      </c>
      <c r="H157" s="10">
        <v>1.4185000000000001</v>
      </c>
      <c r="I157" s="17">
        <v>2.5920000000000001</v>
      </c>
      <c r="J157" s="20">
        <f t="shared" si="5"/>
        <v>2.2066467831273968</v>
      </c>
      <c r="K157" s="20">
        <f t="shared" si="4"/>
        <v>6.8139027395524909</v>
      </c>
      <c r="L157" s="57">
        <v>5.34</v>
      </c>
      <c r="M157" s="57">
        <v>5.75</v>
      </c>
      <c r="N157" s="2">
        <v>3.3</v>
      </c>
      <c r="O157" s="29">
        <v>2.2890000000000001</v>
      </c>
      <c r="P157" s="61">
        <v>15.3</v>
      </c>
      <c r="Q157" s="2">
        <v>78</v>
      </c>
      <c r="R157" s="61">
        <v>0.9</v>
      </c>
      <c r="S157" s="2">
        <v>81</v>
      </c>
      <c r="T157" s="2">
        <v>50</v>
      </c>
      <c r="U157" s="2">
        <v>35</v>
      </c>
      <c r="V157" s="4">
        <v>4.7</v>
      </c>
    </row>
    <row r="158" spans="1:22" x14ac:dyDescent="0.2">
      <c r="A158" s="1">
        <v>16</v>
      </c>
      <c r="B158" s="1" t="s">
        <v>65</v>
      </c>
      <c r="C158" s="28">
        <v>2.387</v>
      </c>
      <c r="D158" s="1">
        <v>19</v>
      </c>
      <c r="E158" s="26">
        <v>1</v>
      </c>
      <c r="F158" s="26">
        <v>0</v>
      </c>
      <c r="G158" s="21">
        <v>24.442</v>
      </c>
      <c r="H158" s="22">
        <v>13.570499999999999</v>
      </c>
      <c r="I158" s="23">
        <v>24.698499999999999</v>
      </c>
      <c r="J158" s="24">
        <f t="shared" si="5"/>
        <v>2.1964414090582314</v>
      </c>
      <c r="K158" s="24">
        <f t="shared" si="4"/>
        <v>7.9831835333795009</v>
      </c>
      <c r="L158" s="56">
        <v>4.7300000000000004</v>
      </c>
      <c r="M158" s="56">
        <v>5.55</v>
      </c>
      <c r="N158" s="1">
        <v>3.5</v>
      </c>
      <c r="O158" s="28">
        <v>2.302</v>
      </c>
      <c r="P158" s="60">
        <v>14.2</v>
      </c>
      <c r="Q158" s="1">
        <v>75</v>
      </c>
      <c r="R158" s="60">
        <v>1.1000000000000001</v>
      </c>
      <c r="S158" s="1">
        <v>88</v>
      </c>
      <c r="T158" s="1">
        <v>58</v>
      </c>
      <c r="U158" s="1">
        <v>39</v>
      </c>
      <c r="V158" s="36">
        <v>5.3</v>
      </c>
    </row>
    <row r="159" spans="1:22" x14ac:dyDescent="0.2">
      <c r="A159" s="1">
        <v>16</v>
      </c>
      <c r="B159" s="1" t="s">
        <v>65</v>
      </c>
      <c r="C159" s="28">
        <v>2.387</v>
      </c>
      <c r="D159" s="1">
        <v>19</v>
      </c>
      <c r="E159" s="1">
        <v>1</v>
      </c>
      <c r="F159" s="1">
        <v>1</v>
      </c>
      <c r="G159" s="11">
        <v>2.6905000000000001</v>
      </c>
      <c r="H159" s="12">
        <v>1.4930000000000001</v>
      </c>
      <c r="I159" s="13">
        <v>2.6949999999999998</v>
      </c>
      <c r="J159" s="18">
        <f t="shared" si="5"/>
        <v>2.2383527454242933</v>
      </c>
      <c r="K159" s="18">
        <f t="shared" si="4"/>
        <v>6.2273671795436414</v>
      </c>
      <c r="L159" s="56">
        <v>4.7300000000000004</v>
      </c>
      <c r="M159" s="56">
        <v>5.55</v>
      </c>
      <c r="N159" s="1">
        <v>3.5</v>
      </c>
      <c r="O159" s="28">
        <v>2.302</v>
      </c>
      <c r="P159" s="60">
        <v>14.2</v>
      </c>
      <c r="Q159" s="1">
        <v>75</v>
      </c>
      <c r="R159" s="60">
        <v>1.1000000000000001</v>
      </c>
      <c r="S159" s="1">
        <v>88</v>
      </c>
      <c r="T159" s="1">
        <v>58</v>
      </c>
      <c r="U159" s="1">
        <v>39</v>
      </c>
      <c r="V159" s="36">
        <v>5.3</v>
      </c>
    </row>
    <row r="160" spans="1:22" x14ac:dyDescent="0.2">
      <c r="A160" s="1">
        <v>16</v>
      </c>
      <c r="B160" s="1" t="s">
        <v>65</v>
      </c>
      <c r="C160" s="28">
        <v>2.387</v>
      </c>
      <c r="D160" s="1">
        <v>19</v>
      </c>
      <c r="E160" s="1">
        <v>1</v>
      </c>
      <c r="F160" s="1">
        <v>2</v>
      </c>
      <c r="G160" s="11">
        <v>2.6164999999999998</v>
      </c>
      <c r="H160" s="12">
        <v>1.4504999999999999</v>
      </c>
      <c r="I160" s="13">
        <v>2.62</v>
      </c>
      <c r="J160" s="18">
        <f t="shared" si="5"/>
        <v>2.2372808892689178</v>
      </c>
      <c r="K160" s="18">
        <f t="shared" si="4"/>
        <v>6.2722710821567773</v>
      </c>
      <c r="L160" s="56">
        <v>4.7300000000000004</v>
      </c>
      <c r="M160" s="56">
        <v>5.55</v>
      </c>
      <c r="N160" s="1">
        <v>3.5</v>
      </c>
      <c r="O160" s="28">
        <v>2.302</v>
      </c>
      <c r="P160" s="60">
        <v>14.2</v>
      </c>
      <c r="Q160" s="1">
        <v>75</v>
      </c>
      <c r="R160" s="60">
        <v>1.1000000000000001</v>
      </c>
      <c r="S160" s="1">
        <v>88</v>
      </c>
      <c r="T160" s="1">
        <v>58</v>
      </c>
      <c r="U160" s="1">
        <v>39</v>
      </c>
      <c r="V160" s="36">
        <v>5.3</v>
      </c>
    </row>
    <row r="161" spans="1:22" x14ac:dyDescent="0.2">
      <c r="A161" s="1">
        <v>16</v>
      </c>
      <c r="B161" s="1" t="s">
        <v>65</v>
      </c>
      <c r="C161" s="28">
        <v>2.387</v>
      </c>
      <c r="D161" s="1">
        <v>19</v>
      </c>
      <c r="E161" s="1">
        <v>1</v>
      </c>
      <c r="F161" s="1">
        <v>3</v>
      </c>
      <c r="G161" s="11">
        <v>2.7040000000000002</v>
      </c>
      <c r="H161" s="12">
        <v>1.4990000000000001</v>
      </c>
      <c r="I161" s="13">
        <v>2.706</v>
      </c>
      <c r="J161" s="18">
        <f t="shared" si="5"/>
        <v>2.2402651201325603</v>
      </c>
      <c r="K161" s="18">
        <f t="shared" si="4"/>
        <v>6.1472509370523509</v>
      </c>
      <c r="L161" s="56">
        <v>4.7300000000000004</v>
      </c>
      <c r="M161" s="56">
        <v>5.55</v>
      </c>
      <c r="N161" s="1">
        <v>3.5</v>
      </c>
      <c r="O161" s="28">
        <v>2.302</v>
      </c>
      <c r="P161" s="60">
        <v>14.2</v>
      </c>
      <c r="Q161" s="1">
        <v>75</v>
      </c>
      <c r="R161" s="60">
        <v>1.1000000000000001</v>
      </c>
      <c r="S161" s="1">
        <v>88</v>
      </c>
      <c r="T161" s="1">
        <v>58</v>
      </c>
      <c r="U161" s="1">
        <v>39</v>
      </c>
      <c r="V161" s="36">
        <v>5.3</v>
      </c>
    </row>
    <row r="162" spans="1:22" x14ac:dyDescent="0.2">
      <c r="A162" s="1">
        <v>16</v>
      </c>
      <c r="B162" s="1" t="s">
        <v>65</v>
      </c>
      <c r="C162" s="28">
        <v>2.387</v>
      </c>
      <c r="D162" s="1">
        <v>19</v>
      </c>
      <c r="E162" s="5">
        <v>1</v>
      </c>
      <c r="F162" s="5">
        <v>4</v>
      </c>
      <c r="G162" s="14">
        <v>2.6395</v>
      </c>
      <c r="H162" s="9">
        <v>1.4644999999999999</v>
      </c>
      <c r="I162" s="15">
        <v>2.6435</v>
      </c>
      <c r="J162" s="19">
        <f t="shared" si="5"/>
        <v>2.2387616624257842</v>
      </c>
      <c r="K162" s="19">
        <f t="shared" si="4"/>
        <v>6.2102361782243705</v>
      </c>
      <c r="L162" s="58">
        <v>4.7300000000000004</v>
      </c>
      <c r="M162" s="58">
        <v>5.55</v>
      </c>
      <c r="N162" s="5">
        <v>3.5</v>
      </c>
      <c r="O162" s="53">
        <v>2.302</v>
      </c>
      <c r="P162" s="62">
        <v>14.2</v>
      </c>
      <c r="Q162" s="5">
        <v>75</v>
      </c>
      <c r="R162" s="62">
        <v>1.1000000000000001</v>
      </c>
      <c r="S162" s="5">
        <v>88</v>
      </c>
      <c r="T162" s="5">
        <v>58</v>
      </c>
      <c r="U162" s="5">
        <v>39</v>
      </c>
      <c r="V162" s="43">
        <v>5.3</v>
      </c>
    </row>
    <row r="163" spans="1:22" x14ac:dyDescent="0.2">
      <c r="A163" s="1">
        <v>16</v>
      </c>
      <c r="B163" s="1" t="s">
        <v>66</v>
      </c>
      <c r="C163" s="28">
        <v>2.387</v>
      </c>
      <c r="D163" s="1">
        <v>19</v>
      </c>
      <c r="E163" s="26">
        <v>2</v>
      </c>
      <c r="F163" s="26">
        <v>0</v>
      </c>
      <c r="G163" s="21">
        <v>24.004000000000001</v>
      </c>
      <c r="H163" s="22">
        <v>13.323</v>
      </c>
      <c r="I163" s="23">
        <v>24.2455</v>
      </c>
      <c r="J163" s="24">
        <f t="shared" si="5"/>
        <v>2.1976653696498056</v>
      </c>
      <c r="K163" s="24">
        <f t="shared" si="4"/>
        <v>7.9319074298363823</v>
      </c>
      <c r="L163" s="56">
        <v>4.7300000000000004</v>
      </c>
      <c r="M163" s="56">
        <v>5.55</v>
      </c>
      <c r="N163" s="1">
        <v>3.5</v>
      </c>
      <c r="O163" s="28">
        <v>2.302</v>
      </c>
      <c r="P163" s="60">
        <v>14.2</v>
      </c>
      <c r="Q163" s="1">
        <v>75</v>
      </c>
      <c r="R163" s="60">
        <v>1.1000000000000001</v>
      </c>
      <c r="S163" s="1">
        <v>88</v>
      </c>
      <c r="T163" s="1">
        <v>58</v>
      </c>
      <c r="U163" s="1">
        <v>39</v>
      </c>
      <c r="V163" s="36">
        <v>5.3</v>
      </c>
    </row>
    <row r="164" spans="1:22" x14ac:dyDescent="0.2">
      <c r="A164" s="1">
        <v>16</v>
      </c>
      <c r="B164" s="1" t="s">
        <v>66</v>
      </c>
      <c r="C164" s="28">
        <v>2.387</v>
      </c>
      <c r="D164" s="1">
        <v>19</v>
      </c>
      <c r="E164" s="1">
        <v>2</v>
      </c>
      <c r="F164" s="1">
        <v>1</v>
      </c>
      <c r="G164" s="11">
        <v>2.7130000000000001</v>
      </c>
      <c r="H164" s="12">
        <v>1.5035000000000001</v>
      </c>
      <c r="I164" s="13">
        <v>2.7174999999999998</v>
      </c>
      <c r="J164" s="18">
        <f t="shared" si="5"/>
        <v>2.2347611202635917</v>
      </c>
      <c r="K164" s="18">
        <f t="shared" si="4"/>
        <v>6.3778332524678794</v>
      </c>
      <c r="L164" s="56">
        <v>4.7300000000000004</v>
      </c>
      <c r="M164" s="56">
        <v>5.55</v>
      </c>
      <c r="N164" s="1">
        <v>3.5</v>
      </c>
      <c r="O164" s="28">
        <v>2.302</v>
      </c>
      <c r="P164" s="60">
        <v>14.2</v>
      </c>
      <c r="Q164" s="1">
        <v>75</v>
      </c>
      <c r="R164" s="60">
        <v>1.1000000000000001</v>
      </c>
      <c r="S164" s="1">
        <v>88</v>
      </c>
      <c r="T164" s="1">
        <v>58</v>
      </c>
      <c r="U164" s="1">
        <v>39</v>
      </c>
      <c r="V164" s="36">
        <v>5.3</v>
      </c>
    </row>
    <row r="165" spans="1:22" x14ac:dyDescent="0.2">
      <c r="A165" s="1">
        <v>16</v>
      </c>
      <c r="B165" s="1" t="s">
        <v>66</v>
      </c>
      <c r="C165" s="28">
        <v>2.387</v>
      </c>
      <c r="D165" s="1">
        <v>19</v>
      </c>
      <c r="E165" s="1">
        <v>2</v>
      </c>
      <c r="F165" s="1">
        <v>2</v>
      </c>
      <c r="G165" s="11">
        <v>2.6095000000000002</v>
      </c>
      <c r="H165" s="12">
        <v>1.452</v>
      </c>
      <c r="I165" s="13">
        <v>2.6194999999999999</v>
      </c>
      <c r="J165" s="18">
        <f t="shared" si="5"/>
        <v>2.2351177730192719</v>
      </c>
      <c r="K165" s="18">
        <f t="shared" si="4"/>
        <v>6.3628917880489304</v>
      </c>
      <c r="L165" s="56">
        <v>4.7300000000000004</v>
      </c>
      <c r="M165" s="56">
        <v>5.55</v>
      </c>
      <c r="N165" s="1">
        <v>3.5</v>
      </c>
      <c r="O165" s="28">
        <v>2.302</v>
      </c>
      <c r="P165" s="60">
        <v>14.2</v>
      </c>
      <c r="Q165" s="1">
        <v>75</v>
      </c>
      <c r="R165" s="60">
        <v>1.1000000000000001</v>
      </c>
      <c r="S165" s="1">
        <v>88</v>
      </c>
      <c r="T165" s="1">
        <v>58</v>
      </c>
      <c r="U165" s="1">
        <v>39</v>
      </c>
      <c r="V165" s="36">
        <v>5.3</v>
      </c>
    </row>
    <row r="166" spans="1:22" x14ac:dyDescent="0.2">
      <c r="A166" s="1">
        <v>16</v>
      </c>
      <c r="B166" s="1" t="s">
        <v>66</v>
      </c>
      <c r="C166" s="28">
        <v>2.387</v>
      </c>
      <c r="D166" s="1">
        <v>19</v>
      </c>
      <c r="E166" s="1">
        <v>2</v>
      </c>
      <c r="F166" s="1">
        <v>3</v>
      </c>
      <c r="G166" s="11">
        <v>2.6629999999999998</v>
      </c>
      <c r="H166" s="12">
        <v>1.4770000000000001</v>
      </c>
      <c r="I166" s="13">
        <v>2.6655000000000002</v>
      </c>
      <c r="J166" s="18">
        <f t="shared" si="5"/>
        <v>2.2406394615060998</v>
      </c>
      <c r="K166" s="18">
        <f t="shared" si="4"/>
        <v>6.1315684329241833</v>
      </c>
      <c r="L166" s="56">
        <v>4.7300000000000004</v>
      </c>
      <c r="M166" s="56">
        <v>5.55</v>
      </c>
      <c r="N166" s="1">
        <v>3.5</v>
      </c>
      <c r="O166" s="28">
        <v>2.302</v>
      </c>
      <c r="P166" s="60">
        <v>14.2</v>
      </c>
      <c r="Q166" s="1">
        <v>75</v>
      </c>
      <c r="R166" s="60">
        <v>1.1000000000000001</v>
      </c>
      <c r="S166" s="1">
        <v>88</v>
      </c>
      <c r="T166" s="1">
        <v>58</v>
      </c>
      <c r="U166" s="1">
        <v>39</v>
      </c>
      <c r="V166" s="36">
        <v>5.3</v>
      </c>
    </row>
    <row r="167" spans="1:22" ht="16" thickBot="1" x14ac:dyDescent="0.25">
      <c r="A167" s="1">
        <v>16</v>
      </c>
      <c r="B167" s="1" t="s">
        <v>66</v>
      </c>
      <c r="C167" s="29">
        <v>2.387</v>
      </c>
      <c r="D167" s="2">
        <v>19</v>
      </c>
      <c r="E167" s="2">
        <v>2</v>
      </c>
      <c r="F167" s="2">
        <v>4</v>
      </c>
      <c r="G167" s="16">
        <v>2.6480000000000001</v>
      </c>
      <c r="H167" s="10">
        <v>1.47</v>
      </c>
      <c r="I167" s="17">
        <v>2.6520000000000001</v>
      </c>
      <c r="J167" s="20">
        <f t="shared" si="5"/>
        <v>2.2402707275803722</v>
      </c>
      <c r="K167" s="20">
        <f t="shared" si="4"/>
        <v>6.1470160209312059</v>
      </c>
      <c r="L167" s="57">
        <v>4.7300000000000004</v>
      </c>
      <c r="M167" s="57">
        <v>5.55</v>
      </c>
      <c r="N167" s="2">
        <v>3.5</v>
      </c>
      <c r="O167" s="29">
        <v>2.302</v>
      </c>
      <c r="P167" s="61">
        <v>14.2</v>
      </c>
      <c r="Q167" s="2">
        <v>75</v>
      </c>
      <c r="R167" s="61">
        <v>1.1000000000000001</v>
      </c>
      <c r="S167" s="2">
        <v>88</v>
      </c>
      <c r="T167" s="2">
        <v>58</v>
      </c>
      <c r="U167" s="2">
        <v>39</v>
      </c>
      <c r="V167" s="4">
        <v>5.3</v>
      </c>
    </row>
    <row r="168" spans="1:22" x14ac:dyDescent="0.2">
      <c r="A168" s="1">
        <v>17</v>
      </c>
      <c r="B168" s="1" t="s">
        <v>67</v>
      </c>
      <c r="C168" s="28">
        <v>2.39</v>
      </c>
      <c r="D168" s="1">
        <v>19</v>
      </c>
      <c r="E168" s="26">
        <v>1</v>
      </c>
      <c r="F168" s="26">
        <v>0</v>
      </c>
      <c r="G168" s="21">
        <v>24.115500000000001</v>
      </c>
      <c r="H168" s="22">
        <v>13.432</v>
      </c>
      <c r="I168" s="23">
        <v>24.3355</v>
      </c>
      <c r="J168" s="24">
        <f t="shared" si="5"/>
        <v>2.211721007016096</v>
      </c>
      <c r="K168" s="24">
        <f t="shared" si="4"/>
        <v>7.4593720913767374</v>
      </c>
      <c r="L168" s="56">
        <v>4.7300000000000004</v>
      </c>
      <c r="M168" s="56">
        <v>5.67</v>
      </c>
      <c r="N168" s="1">
        <v>3.3</v>
      </c>
      <c r="O168" s="28">
        <v>2.31</v>
      </c>
      <c r="P168" s="60">
        <v>14</v>
      </c>
      <c r="Q168" s="1">
        <v>76</v>
      </c>
      <c r="R168" s="60">
        <v>1.1000000000000001</v>
      </c>
      <c r="S168" s="1">
        <v>87</v>
      </c>
      <c r="T168" s="1">
        <v>56</v>
      </c>
      <c r="U168" s="1">
        <v>38</v>
      </c>
      <c r="V168" s="36">
        <v>5.3</v>
      </c>
    </row>
    <row r="169" spans="1:22" x14ac:dyDescent="0.2">
      <c r="A169" s="1">
        <v>17</v>
      </c>
      <c r="B169" s="1" t="s">
        <v>67</v>
      </c>
      <c r="C169" s="28">
        <v>2.39</v>
      </c>
      <c r="D169" s="1">
        <v>19</v>
      </c>
      <c r="E169" s="1">
        <v>1</v>
      </c>
      <c r="F169" s="1">
        <v>1</v>
      </c>
      <c r="G169" s="11">
        <v>2.4727999999999999</v>
      </c>
      <c r="H169" s="12">
        <v>1.3745000000000001</v>
      </c>
      <c r="I169" s="13">
        <v>2.4792999999999998</v>
      </c>
      <c r="J169" s="18">
        <f t="shared" si="5"/>
        <v>2.2382331643736428</v>
      </c>
      <c r="K169" s="18">
        <f t="shared" si="4"/>
        <v>6.3500768044500999</v>
      </c>
      <c r="L169" s="56">
        <v>4.7300000000000004</v>
      </c>
      <c r="M169" s="56">
        <v>5.67</v>
      </c>
      <c r="N169" s="1">
        <v>3.3</v>
      </c>
      <c r="O169" s="28">
        <v>2.31</v>
      </c>
      <c r="P169" s="60">
        <v>14</v>
      </c>
      <c r="Q169" s="1">
        <v>76</v>
      </c>
      <c r="R169" s="60">
        <v>1.1000000000000001</v>
      </c>
      <c r="S169" s="1">
        <v>87</v>
      </c>
      <c r="T169" s="1">
        <v>56</v>
      </c>
      <c r="U169" s="1">
        <v>38</v>
      </c>
      <c r="V169" s="36">
        <v>5.3</v>
      </c>
    </row>
    <row r="170" spans="1:22" x14ac:dyDescent="0.2">
      <c r="A170" s="1">
        <v>17</v>
      </c>
      <c r="B170" s="1" t="s">
        <v>67</v>
      </c>
      <c r="C170" s="28">
        <v>2.39</v>
      </c>
      <c r="D170" s="1">
        <v>19</v>
      </c>
      <c r="E170" s="1">
        <v>1</v>
      </c>
      <c r="F170" s="1">
        <v>2</v>
      </c>
      <c r="G170" s="11">
        <v>2.4573</v>
      </c>
      <c r="H170" s="12">
        <v>1.3634999999999999</v>
      </c>
      <c r="I170" s="13">
        <v>2.4601999999999999</v>
      </c>
      <c r="J170" s="18">
        <f t="shared" si="5"/>
        <v>2.2406309838606728</v>
      </c>
      <c r="K170" s="18">
        <f t="shared" si="4"/>
        <v>6.2497496292605597</v>
      </c>
      <c r="L170" s="56">
        <v>4.7300000000000004</v>
      </c>
      <c r="M170" s="56">
        <v>5.67</v>
      </c>
      <c r="N170" s="1">
        <v>3.3</v>
      </c>
      <c r="O170" s="28">
        <v>2.31</v>
      </c>
      <c r="P170" s="60">
        <v>14</v>
      </c>
      <c r="Q170" s="1">
        <v>76</v>
      </c>
      <c r="R170" s="60">
        <v>1.1000000000000001</v>
      </c>
      <c r="S170" s="1">
        <v>87</v>
      </c>
      <c r="T170" s="1">
        <v>56</v>
      </c>
      <c r="U170" s="1">
        <v>38</v>
      </c>
      <c r="V170" s="36">
        <v>5.3</v>
      </c>
    </row>
    <row r="171" spans="1:22" x14ac:dyDescent="0.2">
      <c r="A171" s="1">
        <v>17</v>
      </c>
      <c r="B171" s="1" t="s">
        <v>67</v>
      </c>
      <c r="C171" s="28">
        <v>2.39</v>
      </c>
      <c r="D171" s="1">
        <v>19</v>
      </c>
      <c r="E171" s="1">
        <v>1</v>
      </c>
      <c r="F171" s="1">
        <v>3</v>
      </c>
      <c r="G171" s="11">
        <v>2.4699</v>
      </c>
      <c r="H171" s="12">
        <v>1.3782000000000001</v>
      </c>
      <c r="I171" s="13">
        <v>2.4784999999999999</v>
      </c>
      <c r="J171" s="18">
        <f t="shared" si="5"/>
        <v>2.2447514314277925</v>
      </c>
      <c r="K171" s="18">
        <f t="shared" si="4"/>
        <v>6.0773459653643336</v>
      </c>
      <c r="L171" s="56">
        <v>4.7300000000000004</v>
      </c>
      <c r="M171" s="56">
        <v>5.67</v>
      </c>
      <c r="N171" s="1">
        <v>3.3</v>
      </c>
      <c r="O171" s="28">
        <v>2.31</v>
      </c>
      <c r="P171" s="60">
        <v>14</v>
      </c>
      <c r="Q171" s="1">
        <v>76</v>
      </c>
      <c r="R171" s="60">
        <v>1.1000000000000001</v>
      </c>
      <c r="S171" s="1">
        <v>87</v>
      </c>
      <c r="T171" s="1">
        <v>56</v>
      </c>
      <c r="U171" s="1">
        <v>38</v>
      </c>
      <c r="V171" s="36">
        <v>5.3</v>
      </c>
    </row>
    <row r="172" spans="1:22" x14ac:dyDescent="0.2">
      <c r="A172" s="1">
        <v>17</v>
      </c>
      <c r="B172" s="1" t="s">
        <v>67</v>
      </c>
      <c r="C172" s="28">
        <v>2.39</v>
      </c>
      <c r="D172" s="1">
        <v>19</v>
      </c>
      <c r="E172" s="5">
        <v>1</v>
      </c>
      <c r="F172" s="5">
        <v>4</v>
      </c>
      <c r="G172" s="14">
        <v>2.4424999999999999</v>
      </c>
      <c r="H172" s="9">
        <v>1.3534999999999999</v>
      </c>
      <c r="I172" s="15">
        <v>2.4455</v>
      </c>
      <c r="J172" s="19">
        <f t="shared" si="5"/>
        <v>2.2367216117216113</v>
      </c>
      <c r="K172" s="19">
        <f t="shared" si="4"/>
        <v>6.4133216852882313</v>
      </c>
      <c r="L172" s="58">
        <v>4.7300000000000004</v>
      </c>
      <c r="M172" s="58">
        <v>5.67</v>
      </c>
      <c r="N172" s="5">
        <v>3.3</v>
      </c>
      <c r="O172" s="53">
        <v>2.31</v>
      </c>
      <c r="P172" s="62">
        <v>14</v>
      </c>
      <c r="Q172" s="5">
        <v>76</v>
      </c>
      <c r="R172" s="62">
        <v>1.1000000000000001</v>
      </c>
      <c r="S172" s="5">
        <v>87</v>
      </c>
      <c r="T172" s="5">
        <v>56</v>
      </c>
      <c r="U172" s="5">
        <v>38</v>
      </c>
      <c r="V172" s="43">
        <v>5.3</v>
      </c>
    </row>
    <row r="173" spans="1:22" x14ac:dyDescent="0.2">
      <c r="A173" s="1">
        <v>17</v>
      </c>
      <c r="B173" s="1" t="s">
        <v>68</v>
      </c>
      <c r="C173" s="28">
        <v>2.39</v>
      </c>
      <c r="D173" s="1">
        <v>19</v>
      </c>
      <c r="E173" s="26">
        <v>2</v>
      </c>
      <c r="F173" s="26">
        <v>0</v>
      </c>
      <c r="G173" s="21">
        <v>23.998000000000001</v>
      </c>
      <c r="H173" s="22">
        <v>13.372</v>
      </c>
      <c r="I173" s="23">
        <v>24.271999999999998</v>
      </c>
      <c r="J173" s="24">
        <f t="shared" si="5"/>
        <v>2.2016513761467893</v>
      </c>
      <c r="K173" s="24">
        <f t="shared" si="4"/>
        <v>7.8806955587117482</v>
      </c>
      <c r="L173" s="56">
        <v>4.7300000000000004</v>
      </c>
      <c r="M173" s="56">
        <v>5.67</v>
      </c>
      <c r="N173" s="1">
        <v>3.3</v>
      </c>
      <c r="O173" s="28">
        <v>2.31</v>
      </c>
      <c r="P173" s="60">
        <v>14</v>
      </c>
      <c r="Q173" s="1">
        <v>76</v>
      </c>
      <c r="R173" s="60">
        <v>1.1000000000000001</v>
      </c>
      <c r="S173" s="1">
        <v>87</v>
      </c>
      <c r="T173" s="1">
        <v>56</v>
      </c>
      <c r="U173" s="1">
        <v>38</v>
      </c>
      <c r="V173" s="36">
        <v>5.3</v>
      </c>
    </row>
    <row r="174" spans="1:22" x14ac:dyDescent="0.2">
      <c r="A174" s="1">
        <v>17</v>
      </c>
      <c r="B174" s="1" t="s">
        <v>68</v>
      </c>
      <c r="C174" s="28">
        <v>2.39</v>
      </c>
      <c r="D174" s="1">
        <v>19</v>
      </c>
      <c r="E174" s="1">
        <v>2</v>
      </c>
      <c r="F174" s="1">
        <v>1</v>
      </c>
      <c r="G174" s="11">
        <v>2.4752000000000001</v>
      </c>
      <c r="H174" s="12">
        <v>1.3762000000000001</v>
      </c>
      <c r="I174" s="13">
        <v>2.4792000000000001</v>
      </c>
      <c r="J174" s="18">
        <f t="shared" si="5"/>
        <v>2.2440616500453312</v>
      </c>
      <c r="K174" s="18">
        <f t="shared" si="4"/>
        <v>6.1062071110740135</v>
      </c>
      <c r="L174" s="56">
        <v>4.7300000000000004</v>
      </c>
      <c r="M174" s="56">
        <v>5.67</v>
      </c>
      <c r="N174" s="1">
        <v>3.3</v>
      </c>
      <c r="O174" s="28">
        <v>2.31</v>
      </c>
      <c r="P174" s="60">
        <v>14</v>
      </c>
      <c r="Q174" s="1">
        <v>76</v>
      </c>
      <c r="R174" s="60">
        <v>1.1000000000000001</v>
      </c>
      <c r="S174" s="1">
        <v>87</v>
      </c>
      <c r="T174" s="1">
        <v>56</v>
      </c>
      <c r="U174" s="1">
        <v>38</v>
      </c>
      <c r="V174" s="36">
        <v>5.3</v>
      </c>
    </row>
    <row r="175" spans="1:22" x14ac:dyDescent="0.2">
      <c r="A175" s="1">
        <v>17</v>
      </c>
      <c r="B175" s="1" t="s">
        <v>68</v>
      </c>
      <c r="C175" s="28">
        <v>2.39</v>
      </c>
      <c r="D175" s="1">
        <v>19</v>
      </c>
      <c r="E175" s="1">
        <v>2</v>
      </c>
      <c r="F175" s="1">
        <v>2</v>
      </c>
      <c r="G175" s="11">
        <v>2.4632000000000001</v>
      </c>
      <c r="H175" s="12">
        <v>1.3717999999999999</v>
      </c>
      <c r="I175" s="13">
        <v>2.4695</v>
      </c>
      <c r="J175" s="18">
        <f t="shared" si="5"/>
        <v>2.2439646533661288</v>
      </c>
      <c r="K175" s="18">
        <f t="shared" si="4"/>
        <v>6.1102655495343665</v>
      </c>
      <c r="L175" s="56">
        <v>4.7300000000000004</v>
      </c>
      <c r="M175" s="56">
        <v>5.67</v>
      </c>
      <c r="N175" s="1">
        <v>3.3</v>
      </c>
      <c r="O175" s="28">
        <v>2.31</v>
      </c>
      <c r="P175" s="60">
        <v>14</v>
      </c>
      <c r="Q175" s="1">
        <v>76</v>
      </c>
      <c r="R175" s="60">
        <v>1.1000000000000001</v>
      </c>
      <c r="S175" s="1">
        <v>87</v>
      </c>
      <c r="T175" s="1">
        <v>56</v>
      </c>
      <c r="U175" s="1">
        <v>38</v>
      </c>
      <c r="V175" s="36">
        <v>5.3</v>
      </c>
    </row>
    <row r="176" spans="1:22" x14ac:dyDescent="0.2">
      <c r="A176" s="1">
        <v>17</v>
      </c>
      <c r="B176" s="1" t="s">
        <v>68</v>
      </c>
      <c r="C176" s="28">
        <v>2.39</v>
      </c>
      <c r="D176" s="1">
        <v>19</v>
      </c>
      <c r="E176" s="1">
        <v>2</v>
      </c>
      <c r="F176" s="1">
        <v>3</v>
      </c>
      <c r="G176" s="11">
        <v>2.4775</v>
      </c>
      <c r="H176" s="12">
        <v>1.37</v>
      </c>
      <c r="I176" s="13">
        <v>2.4796</v>
      </c>
      <c r="J176" s="18">
        <f t="shared" si="5"/>
        <v>2.2327865897620764</v>
      </c>
      <c r="K176" s="18">
        <f t="shared" si="4"/>
        <v>6.5779669555616653</v>
      </c>
      <c r="L176" s="56">
        <v>4.7300000000000004</v>
      </c>
      <c r="M176" s="56">
        <v>5.67</v>
      </c>
      <c r="N176" s="1">
        <v>3.3</v>
      </c>
      <c r="O176" s="28">
        <v>2.31</v>
      </c>
      <c r="P176" s="60">
        <v>14</v>
      </c>
      <c r="Q176" s="1">
        <v>76</v>
      </c>
      <c r="R176" s="60">
        <v>1.1000000000000001</v>
      </c>
      <c r="S176" s="1">
        <v>87</v>
      </c>
      <c r="T176" s="1">
        <v>56</v>
      </c>
      <c r="U176" s="1">
        <v>38</v>
      </c>
      <c r="V176" s="36">
        <v>5.3</v>
      </c>
    </row>
    <row r="177" spans="1:22" ht="16" thickBot="1" x14ac:dyDescent="0.25">
      <c r="A177" s="1">
        <v>17</v>
      </c>
      <c r="B177" s="1" t="s">
        <v>68</v>
      </c>
      <c r="C177" s="29">
        <v>2.39</v>
      </c>
      <c r="D177" s="2">
        <v>19</v>
      </c>
      <c r="E177" s="2">
        <v>2</v>
      </c>
      <c r="F177" s="2">
        <v>4</v>
      </c>
      <c r="G177" s="16">
        <v>2.4639000000000002</v>
      </c>
      <c r="H177" s="10">
        <v>1.3702000000000001</v>
      </c>
      <c r="I177" s="17">
        <v>2.4685000000000001</v>
      </c>
      <c r="J177" s="20">
        <f t="shared" si="5"/>
        <v>2.2433761267413277</v>
      </c>
      <c r="K177" s="20">
        <f t="shared" si="4"/>
        <v>6.1348900945051188</v>
      </c>
      <c r="L177" s="57">
        <v>4.7300000000000004</v>
      </c>
      <c r="M177" s="57">
        <v>5.67</v>
      </c>
      <c r="N177" s="2">
        <v>3.3</v>
      </c>
      <c r="O177" s="29">
        <v>2.31</v>
      </c>
      <c r="P177" s="61">
        <v>14</v>
      </c>
      <c r="Q177" s="2">
        <v>76</v>
      </c>
      <c r="R177" s="61">
        <v>1.1000000000000001</v>
      </c>
      <c r="S177" s="2">
        <v>87</v>
      </c>
      <c r="T177" s="2">
        <v>56</v>
      </c>
      <c r="U177" s="2">
        <v>38</v>
      </c>
      <c r="V177" s="4">
        <v>5.3</v>
      </c>
    </row>
    <row r="178" spans="1:22" x14ac:dyDescent="0.2">
      <c r="A178" s="1">
        <v>18</v>
      </c>
      <c r="B178" s="1" t="s">
        <v>69</v>
      </c>
      <c r="C178" s="28">
        <v>2.3929999999999998</v>
      </c>
      <c r="D178" s="1">
        <v>19</v>
      </c>
      <c r="E178" s="26">
        <v>1</v>
      </c>
      <c r="F178" s="26">
        <v>0</v>
      </c>
      <c r="G178" s="21">
        <v>24.0715</v>
      </c>
      <c r="H178" s="22">
        <v>13.452</v>
      </c>
      <c r="I178" s="23">
        <v>24.338999999999999</v>
      </c>
      <c r="J178" s="24">
        <f t="shared" si="5"/>
        <v>2.2110315054652339</v>
      </c>
      <c r="K178" s="24">
        <f t="shared" si="4"/>
        <v>7.6041995208844915</v>
      </c>
      <c r="L178" s="56">
        <v>4.62</v>
      </c>
      <c r="M178" s="56">
        <v>5.5</v>
      </c>
      <c r="N178" s="1">
        <v>3.4</v>
      </c>
      <c r="O178" s="28">
        <v>2.3109999999999999</v>
      </c>
      <c r="P178" s="60">
        <v>13.9</v>
      </c>
      <c r="Q178" s="1">
        <v>75</v>
      </c>
      <c r="R178" s="60">
        <v>1.1000000000000001</v>
      </c>
      <c r="S178" s="1">
        <v>85</v>
      </c>
      <c r="T178" s="1">
        <v>50</v>
      </c>
      <c r="U178" s="1">
        <v>34</v>
      </c>
      <c r="V178" s="36">
        <v>5</v>
      </c>
    </row>
    <row r="179" spans="1:22" x14ac:dyDescent="0.2">
      <c r="A179" s="1">
        <v>18</v>
      </c>
      <c r="B179" s="1" t="s">
        <v>69</v>
      </c>
      <c r="C179" s="28">
        <v>2.3929999999999998</v>
      </c>
      <c r="D179" s="1">
        <v>19</v>
      </c>
      <c r="E179" s="1">
        <v>1</v>
      </c>
      <c r="F179" s="1">
        <v>1</v>
      </c>
      <c r="G179" s="11">
        <v>2.641</v>
      </c>
      <c r="H179" s="12">
        <v>1.4830000000000001</v>
      </c>
      <c r="I179" s="13">
        <v>2.6665000000000001</v>
      </c>
      <c r="J179" s="18">
        <f t="shared" si="5"/>
        <v>2.2315166877904522</v>
      </c>
      <c r="K179" s="18">
        <f t="shared" si="4"/>
        <v>6.748153456312056</v>
      </c>
      <c r="L179" s="56">
        <v>4.62</v>
      </c>
      <c r="M179" s="56">
        <v>5.5</v>
      </c>
      <c r="N179" s="1">
        <v>3.4</v>
      </c>
      <c r="O179" s="28">
        <v>2.3109999999999999</v>
      </c>
      <c r="P179" s="60">
        <v>13.9</v>
      </c>
      <c r="Q179" s="1">
        <v>75</v>
      </c>
      <c r="R179" s="60">
        <v>1.1000000000000001</v>
      </c>
      <c r="S179" s="1">
        <v>85</v>
      </c>
      <c r="T179" s="1">
        <v>50</v>
      </c>
      <c r="U179" s="1">
        <v>34</v>
      </c>
      <c r="V179" s="36">
        <v>5</v>
      </c>
    </row>
    <row r="180" spans="1:22" x14ac:dyDescent="0.2">
      <c r="A180" s="1">
        <v>18</v>
      </c>
      <c r="B180" s="1" t="s">
        <v>69</v>
      </c>
      <c r="C180" s="28">
        <v>2.3929999999999998</v>
      </c>
      <c r="D180" s="1">
        <v>19</v>
      </c>
      <c r="E180" s="7">
        <v>1</v>
      </c>
      <c r="F180" s="7">
        <v>2</v>
      </c>
      <c r="G180" s="11">
        <v>2.6764999999999999</v>
      </c>
      <c r="H180" s="12">
        <v>1.5044999999999999</v>
      </c>
      <c r="I180" s="13">
        <v>2.6920000000000002</v>
      </c>
      <c r="J180" s="18">
        <f t="shared" si="5"/>
        <v>2.253894736842105</v>
      </c>
      <c r="K180" s="18">
        <f t="shared" si="4"/>
        <v>5.8130072360173308</v>
      </c>
      <c r="L180" s="56">
        <v>4.62</v>
      </c>
      <c r="M180" s="56">
        <v>5.5</v>
      </c>
      <c r="N180" s="1">
        <v>3.4</v>
      </c>
      <c r="O180" s="28">
        <v>2.3109999999999999</v>
      </c>
      <c r="P180" s="60">
        <v>13.9</v>
      </c>
      <c r="Q180" s="1">
        <v>75</v>
      </c>
      <c r="R180" s="60">
        <v>1.1000000000000001</v>
      </c>
      <c r="S180" s="1">
        <v>85</v>
      </c>
      <c r="T180" s="1">
        <v>50</v>
      </c>
      <c r="U180" s="1">
        <v>34</v>
      </c>
      <c r="V180" s="36">
        <v>5</v>
      </c>
    </row>
    <row r="181" spans="1:22" x14ac:dyDescent="0.2">
      <c r="A181" s="1">
        <v>18</v>
      </c>
      <c r="B181" s="1" t="s">
        <v>69</v>
      </c>
      <c r="C181" s="28">
        <v>2.3929999999999998</v>
      </c>
      <c r="D181" s="1">
        <v>19</v>
      </c>
      <c r="E181" s="1">
        <v>1</v>
      </c>
      <c r="F181" s="1">
        <v>3</v>
      </c>
      <c r="G181" s="11">
        <v>2.6840000000000002</v>
      </c>
      <c r="H181" s="12">
        <v>1.5029999999999999</v>
      </c>
      <c r="I181" s="13">
        <v>2.7054999999999998</v>
      </c>
      <c r="J181" s="18">
        <f t="shared" si="5"/>
        <v>2.2320166320166321</v>
      </c>
      <c r="K181" s="18">
        <f t="shared" si="4"/>
        <v>6.7272615120504646</v>
      </c>
      <c r="L181" s="56">
        <v>4.62</v>
      </c>
      <c r="M181" s="56">
        <v>5.5</v>
      </c>
      <c r="N181" s="1">
        <v>3.4</v>
      </c>
      <c r="O181" s="28">
        <v>2.3109999999999999</v>
      </c>
      <c r="P181" s="60">
        <v>13.9</v>
      </c>
      <c r="Q181" s="1">
        <v>75</v>
      </c>
      <c r="R181" s="60">
        <v>1.1000000000000001</v>
      </c>
      <c r="S181" s="1">
        <v>85</v>
      </c>
      <c r="T181" s="1">
        <v>50</v>
      </c>
      <c r="U181" s="1">
        <v>34</v>
      </c>
      <c r="V181" s="36">
        <v>5</v>
      </c>
    </row>
    <row r="182" spans="1:22" x14ac:dyDescent="0.2">
      <c r="A182" s="1">
        <v>18</v>
      </c>
      <c r="B182" s="1" t="s">
        <v>69</v>
      </c>
      <c r="C182" s="28">
        <v>2.3929999999999998</v>
      </c>
      <c r="D182" s="1">
        <v>19</v>
      </c>
      <c r="E182" s="5">
        <v>1</v>
      </c>
      <c r="F182" s="5">
        <v>4</v>
      </c>
      <c r="G182" s="14">
        <v>2.5485000000000002</v>
      </c>
      <c r="H182" s="9">
        <v>1.4225000000000001</v>
      </c>
      <c r="I182" s="15">
        <v>2.5575000000000001</v>
      </c>
      <c r="J182" s="19">
        <f t="shared" si="5"/>
        <v>2.2453744493392072</v>
      </c>
      <c r="K182" s="19">
        <f t="shared" si="4"/>
        <v>6.1690576958124854</v>
      </c>
      <c r="L182" s="58">
        <v>4.62</v>
      </c>
      <c r="M182" s="58">
        <v>5.5</v>
      </c>
      <c r="N182" s="5">
        <v>3.4</v>
      </c>
      <c r="O182" s="53">
        <v>2.3109999999999999</v>
      </c>
      <c r="P182" s="62">
        <v>13.9</v>
      </c>
      <c r="Q182" s="5">
        <v>75</v>
      </c>
      <c r="R182" s="62">
        <v>1.1000000000000001</v>
      </c>
      <c r="S182" s="5">
        <v>85</v>
      </c>
      <c r="T182" s="5">
        <v>50</v>
      </c>
      <c r="U182" s="5">
        <v>34</v>
      </c>
      <c r="V182" s="43">
        <v>5</v>
      </c>
    </row>
    <row r="183" spans="1:22" x14ac:dyDescent="0.2">
      <c r="A183" s="1">
        <v>18</v>
      </c>
      <c r="B183" s="1" t="s">
        <v>70</v>
      </c>
      <c r="C183" s="28">
        <v>2.3929999999999998</v>
      </c>
      <c r="D183" s="1">
        <v>19</v>
      </c>
      <c r="E183" s="26">
        <v>2</v>
      </c>
      <c r="F183" s="26">
        <v>0</v>
      </c>
      <c r="G183" s="21">
        <v>24.022500000000001</v>
      </c>
      <c r="H183" s="22">
        <v>13.432499999999999</v>
      </c>
      <c r="I183" s="23">
        <v>24.312000000000001</v>
      </c>
      <c r="J183" s="24">
        <f t="shared" si="5"/>
        <v>2.2080518406176752</v>
      </c>
      <c r="K183" s="24">
        <f t="shared" si="4"/>
        <v>7.7287153941631654</v>
      </c>
      <c r="L183" s="56">
        <v>4.62</v>
      </c>
      <c r="M183" s="56">
        <v>5.5</v>
      </c>
      <c r="N183" s="1">
        <v>3.4</v>
      </c>
      <c r="O183" s="28">
        <v>2.3109999999999999</v>
      </c>
      <c r="P183" s="60">
        <v>13.9</v>
      </c>
      <c r="Q183" s="1">
        <v>75</v>
      </c>
      <c r="R183" s="60">
        <v>1.1000000000000001</v>
      </c>
      <c r="S183" s="1">
        <v>85</v>
      </c>
      <c r="T183" s="1">
        <v>50</v>
      </c>
      <c r="U183" s="1">
        <v>34</v>
      </c>
      <c r="V183" s="36">
        <v>5</v>
      </c>
    </row>
    <row r="184" spans="1:22" x14ac:dyDescent="0.2">
      <c r="A184" s="1">
        <v>18</v>
      </c>
      <c r="B184" s="1" t="s">
        <v>70</v>
      </c>
      <c r="C184" s="28">
        <v>2.3929999999999998</v>
      </c>
      <c r="D184" s="1">
        <v>19</v>
      </c>
      <c r="E184" s="1">
        <v>2</v>
      </c>
      <c r="F184" s="1">
        <v>1</v>
      </c>
      <c r="G184" s="11">
        <v>2.6265000000000001</v>
      </c>
      <c r="H184" s="12">
        <v>1.46</v>
      </c>
      <c r="I184" s="13">
        <v>2.633</v>
      </c>
      <c r="J184" s="18">
        <f t="shared" si="5"/>
        <v>2.2391304347826089</v>
      </c>
      <c r="K184" s="18">
        <f t="shared" si="4"/>
        <v>6.4299860099202188</v>
      </c>
      <c r="L184" s="56">
        <v>4.62</v>
      </c>
      <c r="M184" s="56">
        <v>5.5</v>
      </c>
      <c r="N184" s="1">
        <v>3.4</v>
      </c>
      <c r="O184" s="28">
        <v>2.3109999999999999</v>
      </c>
      <c r="P184" s="60">
        <v>13.9</v>
      </c>
      <c r="Q184" s="1">
        <v>75</v>
      </c>
      <c r="R184" s="60">
        <v>1.1000000000000001</v>
      </c>
      <c r="S184" s="1">
        <v>85</v>
      </c>
      <c r="T184" s="1">
        <v>50</v>
      </c>
      <c r="U184" s="1">
        <v>34</v>
      </c>
      <c r="V184" s="36">
        <v>5</v>
      </c>
    </row>
    <row r="185" spans="1:22" x14ac:dyDescent="0.2">
      <c r="A185" s="1">
        <v>18</v>
      </c>
      <c r="B185" s="1" t="s">
        <v>70</v>
      </c>
      <c r="C185" s="28">
        <v>2.3929999999999998</v>
      </c>
      <c r="D185" s="1">
        <v>19</v>
      </c>
      <c r="E185" s="1">
        <v>2</v>
      </c>
      <c r="F185" s="1">
        <v>2</v>
      </c>
      <c r="G185" s="11">
        <v>2.6749999999999998</v>
      </c>
      <c r="H185" s="12">
        <v>1.5035000000000001</v>
      </c>
      <c r="I185" s="13">
        <v>2.6949999999999998</v>
      </c>
      <c r="J185" s="18">
        <f t="shared" si="5"/>
        <v>2.2450692404532107</v>
      </c>
      <c r="K185" s="18">
        <f t="shared" si="4"/>
        <v>6.1818119325862568</v>
      </c>
      <c r="L185" s="56">
        <v>4.62</v>
      </c>
      <c r="M185" s="56">
        <v>5.5</v>
      </c>
      <c r="N185" s="1">
        <v>3.4</v>
      </c>
      <c r="O185" s="28">
        <v>2.3109999999999999</v>
      </c>
      <c r="P185" s="60">
        <v>13.9</v>
      </c>
      <c r="Q185" s="1">
        <v>75</v>
      </c>
      <c r="R185" s="60">
        <v>1.1000000000000001</v>
      </c>
      <c r="S185" s="1">
        <v>85</v>
      </c>
      <c r="T185" s="1">
        <v>50</v>
      </c>
      <c r="U185" s="1">
        <v>34</v>
      </c>
      <c r="V185" s="36">
        <v>5</v>
      </c>
    </row>
    <row r="186" spans="1:22" x14ac:dyDescent="0.2">
      <c r="A186" s="1">
        <v>18</v>
      </c>
      <c r="B186" s="1" t="s">
        <v>70</v>
      </c>
      <c r="C186" s="28">
        <v>2.3929999999999998</v>
      </c>
      <c r="D186" s="1">
        <v>19</v>
      </c>
      <c r="E186" s="7">
        <v>2</v>
      </c>
      <c r="F186" s="7">
        <v>3</v>
      </c>
      <c r="G186" s="11">
        <v>2.6484999999999999</v>
      </c>
      <c r="H186" s="12">
        <v>1.488</v>
      </c>
      <c r="I186" s="13">
        <v>2.6575000000000002</v>
      </c>
      <c r="J186" s="18">
        <f t="shared" si="5"/>
        <v>2.2646430098332617</v>
      </c>
      <c r="K186" s="18">
        <f t="shared" si="4"/>
        <v>5.3638524933864673</v>
      </c>
      <c r="L186" s="56">
        <v>4.62</v>
      </c>
      <c r="M186" s="56">
        <v>5.5</v>
      </c>
      <c r="N186" s="1">
        <v>3.4</v>
      </c>
      <c r="O186" s="28">
        <v>2.3109999999999999</v>
      </c>
      <c r="P186" s="60">
        <v>13.9</v>
      </c>
      <c r="Q186" s="1">
        <v>75</v>
      </c>
      <c r="R186" s="60">
        <v>1.1000000000000001</v>
      </c>
      <c r="S186" s="1">
        <v>85</v>
      </c>
      <c r="T186" s="1">
        <v>50</v>
      </c>
      <c r="U186" s="1">
        <v>34</v>
      </c>
      <c r="V186" s="36">
        <v>5</v>
      </c>
    </row>
    <row r="187" spans="1:22" ht="16" thickBot="1" x14ac:dyDescent="0.25">
      <c r="A187" s="1">
        <v>18</v>
      </c>
      <c r="B187" s="1" t="s">
        <v>70</v>
      </c>
      <c r="C187" s="29">
        <v>2.3929999999999998</v>
      </c>
      <c r="D187" s="2">
        <v>19</v>
      </c>
      <c r="E187" s="2">
        <v>2</v>
      </c>
      <c r="F187" s="2">
        <v>4</v>
      </c>
      <c r="G187" s="16">
        <v>2.7094999999999998</v>
      </c>
      <c r="H187" s="10">
        <v>1.5105</v>
      </c>
      <c r="I187" s="17">
        <v>2.7225000000000001</v>
      </c>
      <c r="J187" s="20">
        <f t="shared" si="5"/>
        <v>2.2355610561056101</v>
      </c>
      <c r="K187" s="20">
        <f t="shared" si="4"/>
        <v>6.5791451690091822</v>
      </c>
      <c r="L187" s="57">
        <v>4.62</v>
      </c>
      <c r="M187" s="57">
        <v>5.5</v>
      </c>
      <c r="N187" s="2">
        <v>3.4</v>
      </c>
      <c r="O187" s="29">
        <v>2.3109999999999999</v>
      </c>
      <c r="P187" s="61">
        <v>13.9</v>
      </c>
      <c r="Q187" s="2">
        <v>75</v>
      </c>
      <c r="R187" s="61">
        <v>1.1000000000000001</v>
      </c>
      <c r="S187" s="2">
        <v>85</v>
      </c>
      <c r="T187" s="2">
        <v>50</v>
      </c>
      <c r="U187" s="2">
        <v>34</v>
      </c>
      <c r="V187" s="4">
        <v>5</v>
      </c>
    </row>
    <row r="188" spans="1:22" x14ac:dyDescent="0.2">
      <c r="A188" s="1">
        <v>19</v>
      </c>
      <c r="B188" s="1" t="s">
        <v>71</v>
      </c>
      <c r="C188" s="28">
        <v>2.4159999999999999</v>
      </c>
      <c r="D188" s="1">
        <v>19</v>
      </c>
      <c r="E188" s="26">
        <v>1</v>
      </c>
      <c r="F188" s="26">
        <v>0</v>
      </c>
      <c r="G188" s="21">
        <v>24.044499999999999</v>
      </c>
      <c r="H188" s="22">
        <v>13.505000000000001</v>
      </c>
      <c r="I188" s="23">
        <v>24.296500000000002</v>
      </c>
      <c r="J188" s="24">
        <f t="shared" si="5"/>
        <v>2.2280961868136955</v>
      </c>
      <c r="K188" s="24">
        <f t="shared" si="4"/>
        <v>7.7774757113536648</v>
      </c>
      <c r="L188" s="56">
        <v>4.33</v>
      </c>
      <c r="M188" s="56">
        <v>5.39</v>
      </c>
      <c r="N188" s="1">
        <v>3.2</v>
      </c>
      <c r="O188" s="28">
        <v>2.339</v>
      </c>
      <c r="P188" s="60">
        <v>13.1</v>
      </c>
      <c r="Q188" s="1">
        <v>76</v>
      </c>
      <c r="R188" s="60">
        <v>1.3</v>
      </c>
      <c r="S188" s="1">
        <v>83</v>
      </c>
      <c r="T188" s="1">
        <v>53</v>
      </c>
      <c r="U188" s="1">
        <v>37</v>
      </c>
      <c r="V188" s="36">
        <v>5.8</v>
      </c>
    </row>
    <row r="189" spans="1:22" x14ac:dyDescent="0.2">
      <c r="A189" s="1">
        <v>19</v>
      </c>
      <c r="B189" s="1" t="s">
        <v>71</v>
      </c>
      <c r="C189" s="28">
        <v>2.4159999999999999</v>
      </c>
      <c r="D189" s="1">
        <v>19</v>
      </c>
      <c r="E189" s="1">
        <v>1</v>
      </c>
      <c r="F189" s="1">
        <v>1</v>
      </c>
      <c r="G189" s="11">
        <v>2.7440000000000002</v>
      </c>
      <c r="H189" s="12">
        <v>1.5449999999999999</v>
      </c>
      <c r="I189" s="13">
        <v>2.7559999999999998</v>
      </c>
      <c r="J189" s="18">
        <f t="shared" si="5"/>
        <v>2.2658959537572261</v>
      </c>
      <c r="K189" s="18">
        <f t="shared" si="4"/>
        <v>6.2129158213068632</v>
      </c>
      <c r="L189" s="56">
        <v>4.33</v>
      </c>
      <c r="M189" s="56">
        <v>5.39</v>
      </c>
      <c r="N189" s="1">
        <v>3.2</v>
      </c>
      <c r="O189" s="28">
        <v>2.339</v>
      </c>
      <c r="P189" s="60">
        <v>13.1</v>
      </c>
      <c r="Q189" s="1">
        <v>76</v>
      </c>
      <c r="R189" s="60">
        <v>1.3</v>
      </c>
      <c r="S189" s="1">
        <v>83</v>
      </c>
      <c r="T189" s="1">
        <v>53</v>
      </c>
      <c r="U189" s="1">
        <v>37</v>
      </c>
      <c r="V189" s="36">
        <v>5.8</v>
      </c>
    </row>
    <row r="190" spans="1:22" x14ac:dyDescent="0.2">
      <c r="A190" s="1">
        <v>19</v>
      </c>
      <c r="B190" s="1" t="s">
        <v>71</v>
      </c>
      <c r="C190" s="28">
        <v>2.4159999999999999</v>
      </c>
      <c r="D190" s="1">
        <v>19</v>
      </c>
      <c r="E190" s="1">
        <v>1</v>
      </c>
      <c r="F190" s="1">
        <v>2</v>
      </c>
      <c r="G190" s="11">
        <v>2.6419999999999999</v>
      </c>
      <c r="H190" s="12">
        <v>1.4864999999999999</v>
      </c>
      <c r="I190" s="13">
        <v>2.6515</v>
      </c>
      <c r="J190" s="18">
        <f t="shared" si="5"/>
        <v>2.267811158798283</v>
      </c>
      <c r="K190" s="18">
        <f t="shared" si="4"/>
        <v>6.1336440894750428</v>
      </c>
      <c r="L190" s="56">
        <v>4.33</v>
      </c>
      <c r="M190" s="56">
        <v>5.39</v>
      </c>
      <c r="N190" s="1">
        <v>3.2</v>
      </c>
      <c r="O190" s="28">
        <v>2.339</v>
      </c>
      <c r="P190" s="60">
        <v>13.1</v>
      </c>
      <c r="Q190" s="1">
        <v>76</v>
      </c>
      <c r="R190" s="60">
        <v>1.3</v>
      </c>
      <c r="S190" s="1">
        <v>83</v>
      </c>
      <c r="T190" s="1">
        <v>53</v>
      </c>
      <c r="U190" s="1">
        <v>37</v>
      </c>
      <c r="V190" s="36">
        <v>5.8</v>
      </c>
    </row>
    <row r="191" spans="1:22" x14ac:dyDescent="0.2">
      <c r="A191" s="1">
        <v>19</v>
      </c>
      <c r="B191" s="1" t="s">
        <v>71</v>
      </c>
      <c r="C191" s="28">
        <v>2.4159999999999999</v>
      </c>
      <c r="D191" s="1">
        <v>19</v>
      </c>
      <c r="E191" s="1">
        <v>1</v>
      </c>
      <c r="F191" s="1">
        <v>3</v>
      </c>
      <c r="G191" s="11">
        <v>2.6375000000000002</v>
      </c>
      <c r="H191" s="12">
        <v>1.484</v>
      </c>
      <c r="I191" s="13">
        <v>2.6469999999999998</v>
      </c>
      <c r="J191" s="18">
        <f t="shared" si="5"/>
        <v>2.2678417884780746</v>
      </c>
      <c r="K191" s="18">
        <f t="shared" si="4"/>
        <v>6.1323763047154483</v>
      </c>
      <c r="L191" s="56">
        <v>4.33</v>
      </c>
      <c r="M191" s="56">
        <v>5.39</v>
      </c>
      <c r="N191" s="1">
        <v>3.2</v>
      </c>
      <c r="O191" s="28">
        <v>2.339</v>
      </c>
      <c r="P191" s="60">
        <v>13.1</v>
      </c>
      <c r="Q191" s="1">
        <v>76</v>
      </c>
      <c r="R191" s="60">
        <v>1.3</v>
      </c>
      <c r="S191" s="1">
        <v>83</v>
      </c>
      <c r="T191" s="1">
        <v>53</v>
      </c>
      <c r="U191" s="1">
        <v>37</v>
      </c>
      <c r="V191" s="36">
        <v>5.8</v>
      </c>
    </row>
    <row r="192" spans="1:22" x14ac:dyDescent="0.2">
      <c r="A192" s="1">
        <v>19</v>
      </c>
      <c r="B192" s="1" t="s">
        <v>71</v>
      </c>
      <c r="C192" s="28">
        <v>2.4159999999999999</v>
      </c>
      <c r="D192" s="1">
        <v>19</v>
      </c>
      <c r="E192" s="5">
        <v>1</v>
      </c>
      <c r="F192" s="5">
        <v>4</v>
      </c>
      <c r="G192" s="14">
        <v>2.673</v>
      </c>
      <c r="H192" s="9">
        <v>1.5029999999999999</v>
      </c>
      <c r="I192" s="15">
        <v>2.6825000000000001</v>
      </c>
      <c r="J192" s="19">
        <f t="shared" si="5"/>
        <v>2.266214497668503</v>
      </c>
      <c r="K192" s="19">
        <f t="shared" si="4"/>
        <v>6.1997310567672548</v>
      </c>
      <c r="L192" s="58">
        <v>4.33</v>
      </c>
      <c r="M192" s="58">
        <v>5.39</v>
      </c>
      <c r="N192" s="5">
        <v>3.2</v>
      </c>
      <c r="O192" s="53">
        <v>2.339</v>
      </c>
      <c r="P192" s="62">
        <v>13.1</v>
      </c>
      <c r="Q192" s="5">
        <v>76</v>
      </c>
      <c r="R192" s="62">
        <v>1.3</v>
      </c>
      <c r="S192" s="5">
        <v>83</v>
      </c>
      <c r="T192" s="5">
        <v>53</v>
      </c>
      <c r="U192" s="5">
        <v>37</v>
      </c>
      <c r="V192" s="43">
        <v>5.8</v>
      </c>
    </row>
    <row r="193" spans="1:22" x14ac:dyDescent="0.2">
      <c r="A193" s="1">
        <v>19</v>
      </c>
      <c r="B193" s="1" t="s">
        <v>72</v>
      </c>
      <c r="C193" s="28">
        <v>2.4159999999999999</v>
      </c>
      <c r="D193" s="1">
        <v>19</v>
      </c>
      <c r="E193" s="26">
        <v>2</v>
      </c>
      <c r="F193" s="26">
        <v>0</v>
      </c>
      <c r="G193" s="21">
        <v>24.047499999999999</v>
      </c>
      <c r="H193" s="22">
        <v>13.516999999999999</v>
      </c>
      <c r="I193" s="23">
        <v>24.317499999999999</v>
      </c>
      <c r="J193" s="24">
        <f t="shared" si="5"/>
        <v>2.2265172908661635</v>
      </c>
      <c r="K193" s="24">
        <f t="shared" si="4"/>
        <v>7.8428273648111109</v>
      </c>
      <c r="L193" s="56">
        <v>4.33</v>
      </c>
      <c r="M193" s="56">
        <v>5.39</v>
      </c>
      <c r="N193" s="1">
        <v>3.2</v>
      </c>
      <c r="O193" s="28">
        <v>2.339</v>
      </c>
      <c r="P193" s="60">
        <v>13.1</v>
      </c>
      <c r="Q193" s="1">
        <v>76</v>
      </c>
      <c r="R193" s="60">
        <v>1.3</v>
      </c>
      <c r="S193" s="1">
        <v>83</v>
      </c>
      <c r="T193" s="1">
        <v>53</v>
      </c>
      <c r="U193" s="1">
        <v>37</v>
      </c>
      <c r="V193" s="36">
        <v>5.8</v>
      </c>
    </row>
    <row r="194" spans="1:22" x14ac:dyDescent="0.2">
      <c r="A194" s="1">
        <v>19</v>
      </c>
      <c r="B194" s="1" t="s">
        <v>72</v>
      </c>
      <c r="C194" s="28">
        <v>2.4159999999999999</v>
      </c>
      <c r="D194" s="1">
        <v>19</v>
      </c>
      <c r="E194" s="1">
        <v>2</v>
      </c>
      <c r="F194" s="1">
        <v>1</v>
      </c>
      <c r="G194" s="11">
        <v>2.7814999999999999</v>
      </c>
      <c r="H194" s="12">
        <v>1.5725</v>
      </c>
      <c r="I194" s="13">
        <v>2.7995000000000001</v>
      </c>
      <c r="J194" s="18">
        <f t="shared" si="5"/>
        <v>2.2669111654441725</v>
      </c>
      <c r="K194" s="18">
        <f t="shared" si="4"/>
        <v>6.1708954700259717</v>
      </c>
      <c r="L194" s="56">
        <v>4.33</v>
      </c>
      <c r="M194" s="56">
        <v>5.39</v>
      </c>
      <c r="N194" s="1">
        <v>3.2</v>
      </c>
      <c r="O194" s="28">
        <v>2.339</v>
      </c>
      <c r="P194" s="60">
        <v>13.1</v>
      </c>
      <c r="Q194" s="1">
        <v>76</v>
      </c>
      <c r="R194" s="60">
        <v>1.3</v>
      </c>
      <c r="S194" s="1">
        <v>83</v>
      </c>
      <c r="T194" s="1">
        <v>53</v>
      </c>
      <c r="U194" s="1">
        <v>37</v>
      </c>
      <c r="V194" s="36">
        <v>5.8</v>
      </c>
    </row>
    <row r="195" spans="1:22" x14ac:dyDescent="0.2">
      <c r="A195" s="1">
        <v>19</v>
      </c>
      <c r="B195" s="1" t="s">
        <v>72</v>
      </c>
      <c r="C195" s="28">
        <v>2.4159999999999999</v>
      </c>
      <c r="D195" s="1">
        <v>19</v>
      </c>
      <c r="E195" s="1">
        <v>2</v>
      </c>
      <c r="F195" s="1">
        <v>2</v>
      </c>
      <c r="G195" s="11">
        <v>2.6524999999999999</v>
      </c>
      <c r="H195" s="12">
        <v>1.4930000000000001</v>
      </c>
      <c r="I195" s="13">
        <v>2.669</v>
      </c>
      <c r="J195" s="18">
        <f t="shared" si="5"/>
        <v>2.2555272108843538</v>
      </c>
      <c r="K195" s="18">
        <f t="shared" si="4"/>
        <v>6.6420856422038987</v>
      </c>
      <c r="L195" s="56">
        <v>4.33</v>
      </c>
      <c r="M195" s="56">
        <v>5.39</v>
      </c>
      <c r="N195" s="1">
        <v>3.2</v>
      </c>
      <c r="O195" s="28">
        <v>2.339</v>
      </c>
      <c r="P195" s="60">
        <v>13.1</v>
      </c>
      <c r="Q195" s="1">
        <v>76</v>
      </c>
      <c r="R195" s="60">
        <v>1.3</v>
      </c>
      <c r="S195" s="1">
        <v>83</v>
      </c>
      <c r="T195" s="1">
        <v>53</v>
      </c>
      <c r="U195" s="1">
        <v>37</v>
      </c>
      <c r="V195" s="36">
        <v>5.8</v>
      </c>
    </row>
    <row r="196" spans="1:22" x14ac:dyDescent="0.2">
      <c r="A196" s="1">
        <v>19</v>
      </c>
      <c r="B196" s="1" t="s">
        <v>72</v>
      </c>
      <c r="C196" s="28">
        <v>2.4159999999999999</v>
      </c>
      <c r="D196" s="1">
        <v>19</v>
      </c>
      <c r="E196" s="1">
        <v>2</v>
      </c>
      <c r="F196" s="1">
        <v>3</v>
      </c>
      <c r="G196" s="11">
        <v>2.7025000000000001</v>
      </c>
      <c r="H196" s="12">
        <v>1.5225</v>
      </c>
      <c r="I196" s="13">
        <v>2.7185000000000001</v>
      </c>
      <c r="J196" s="18">
        <f t="shared" si="5"/>
        <v>2.2596153846153846</v>
      </c>
      <c r="K196" s="18">
        <f t="shared" si="4"/>
        <v>6.4728731533367334</v>
      </c>
      <c r="L196" s="56">
        <v>4.33</v>
      </c>
      <c r="M196" s="56">
        <v>5.39</v>
      </c>
      <c r="N196" s="1">
        <v>3.2</v>
      </c>
      <c r="O196" s="28">
        <v>2.339</v>
      </c>
      <c r="P196" s="60">
        <v>13.1</v>
      </c>
      <c r="Q196" s="1">
        <v>76</v>
      </c>
      <c r="R196" s="60">
        <v>1.3</v>
      </c>
      <c r="S196" s="1">
        <v>83</v>
      </c>
      <c r="T196" s="1">
        <v>53</v>
      </c>
      <c r="U196" s="1">
        <v>37</v>
      </c>
      <c r="V196" s="36">
        <v>5.8</v>
      </c>
    </row>
    <row r="197" spans="1:22" ht="16" thickBot="1" x14ac:dyDescent="0.25">
      <c r="A197" s="1">
        <v>19</v>
      </c>
      <c r="B197" s="1" t="s">
        <v>72</v>
      </c>
      <c r="C197" s="29">
        <v>2.4159999999999999</v>
      </c>
      <c r="D197" s="2">
        <v>19</v>
      </c>
      <c r="E197" s="2">
        <v>2</v>
      </c>
      <c r="F197" s="2">
        <v>4</v>
      </c>
      <c r="G197" s="16">
        <v>2.61</v>
      </c>
      <c r="H197" s="10">
        <v>1.4615</v>
      </c>
      <c r="I197" s="17">
        <v>2.6190000000000002</v>
      </c>
      <c r="J197" s="20">
        <f t="shared" si="5"/>
        <v>2.254859611231101</v>
      </c>
      <c r="K197" s="20">
        <f t="shared" si="4"/>
        <v>6.6697180781829069</v>
      </c>
      <c r="L197" s="57">
        <v>4.33</v>
      </c>
      <c r="M197" s="57">
        <v>5.39</v>
      </c>
      <c r="N197" s="2">
        <v>3.2</v>
      </c>
      <c r="O197" s="29">
        <v>2.339</v>
      </c>
      <c r="P197" s="61">
        <v>13.1</v>
      </c>
      <c r="Q197" s="2">
        <v>76</v>
      </c>
      <c r="R197" s="61">
        <v>1.3</v>
      </c>
      <c r="S197" s="2">
        <v>83</v>
      </c>
      <c r="T197" s="2">
        <v>53</v>
      </c>
      <c r="U197" s="2">
        <v>37</v>
      </c>
      <c r="V197" s="4">
        <v>5.8</v>
      </c>
    </row>
    <row r="198" spans="1:22" x14ac:dyDescent="0.2">
      <c r="A198" s="1">
        <v>20</v>
      </c>
      <c r="B198" s="1" t="s">
        <v>73</v>
      </c>
      <c r="C198" s="28">
        <v>2.37</v>
      </c>
      <c r="D198" s="1">
        <v>19</v>
      </c>
      <c r="E198" s="26">
        <v>1</v>
      </c>
      <c r="F198" s="26">
        <v>0</v>
      </c>
      <c r="G198" s="21">
        <v>24.115500000000001</v>
      </c>
      <c r="H198" s="22">
        <v>13.366</v>
      </c>
      <c r="I198" s="23">
        <v>24.421500000000002</v>
      </c>
      <c r="J198" s="24">
        <f t="shared" si="5"/>
        <v>2.1813124689068788</v>
      </c>
      <c r="K198" s="24">
        <f t="shared" si="4"/>
        <v>7.9614992022414066</v>
      </c>
      <c r="L198" s="56">
        <v>5.09</v>
      </c>
      <c r="M198" s="56">
        <v>5.83</v>
      </c>
      <c r="N198" s="1">
        <v>3.8</v>
      </c>
      <c r="O198" s="28">
        <v>2.2799999999999998</v>
      </c>
      <c r="P198" s="60">
        <v>15.1</v>
      </c>
      <c r="Q198" s="1">
        <v>75</v>
      </c>
      <c r="R198" s="60">
        <v>1</v>
      </c>
      <c r="S198" s="1">
        <v>84</v>
      </c>
      <c r="T198" s="1">
        <v>52</v>
      </c>
      <c r="U198" s="1">
        <v>33</v>
      </c>
      <c r="V198" s="36">
        <v>5.0999999999999996</v>
      </c>
    </row>
    <row r="199" spans="1:22" x14ac:dyDescent="0.2">
      <c r="A199" s="1">
        <v>20</v>
      </c>
      <c r="B199" s="1" t="s">
        <v>73</v>
      </c>
      <c r="C199" s="28">
        <v>2.37</v>
      </c>
      <c r="D199" s="1">
        <v>19</v>
      </c>
      <c r="E199" s="1">
        <v>1</v>
      </c>
      <c r="F199" s="1">
        <v>1</v>
      </c>
      <c r="G199" s="11">
        <v>2.5920000000000001</v>
      </c>
      <c r="H199" s="12">
        <v>1.427</v>
      </c>
      <c r="I199" s="13">
        <v>2.6004999999999998</v>
      </c>
      <c r="J199" s="18">
        <f t="shared" si="5"/>
        <v>2.2087771623348962</v>
      </c>
      <c r="K199" s="18">
        <f t="shared" si="4"/>
        <v>6.8026513782744269</v>
      </c>
      <c r="L199" s="56">
        <v>5.09</v>
      </c>
      <c r="M199" s="56">
        <v>5.83</v>
      </c>
      <c r="N199" s="1">
        <v>3.8</v>
      </c>
      <c r="O199" s="28">
        <v>2.2799999999999998</v>
      </c>
      <c r="P199" s="60">
        <v>15.1</v>
      </c>
      <c r="Q199" s="1">
        <v>75</v>
      </c>
      <c r="R199" s="60">
        <v>1</v>
      </c>
      <c r="S199" s="1">
        <v>84</v>
      </c>
      <c r="T199" s="1">
        <v>52</v>
      </c>
      <c r="U199" s="1">
        <v>33</v>
      </c>
      <c r="V199" s="36">
        <v>5.0999999999999996</v>
      </c>
    </row>
    <row r="200" spans="1:22" x14ac:dyDescent="0.2">
      <c r="A200" s="1">
        <v>20</v>
      </c>
      <c r="B200" s="1" t="s">
        <v>73</v>
      </c>
      <c r="C200" s="28">
        <v>2.37</v>
      </c>
      <c r="D200" s="1">
        <v>19</v>
      </c>
      <c r="E200" s="1">
        <v>1</v>
      </c>
      <c r="F200" s="1">
        <v>2</v>
      </c>
      <c r="G200" s="11">
        <v>2.5459999999999998</v>
      </c>
      <c r="H200" s="12">
        <v>1.3939999999999999</v>
      </c>
      <c r="I200" s="13">
        <v>2.5529999999999999</v>
      </c>
      <c r="J200" s="18">
        <f t="shared" si="5"/>
        <v>2.1967213114754096</v>
      </c>
      <c r="K200" s="18">
        <f t="shared" ref="K200:K247" si="6">+IF(G200=0,"",(1-(J200/C200))*100)</f>
        <v>7.3113370685481183</v>
      </c>
      <c r="L200" s="56">
        <v>5.09</v>
      </c>
      <c r="M200" s="56">
        <v>5.83</v>
      </c>
      <c r="N200" s="1">
        <v>3.8</v>
      </c>
      <c r="O200" s="28">
        <v>2.2799999999999998</v>
      </c>
      <c r="P200" s="60">
        <v>15.1</v>
      </c>
      <c r="Q200" s="1">
        <v>75</v>
      </c>
      <c r="R200" s="60">
        <v>1</v>
      </c>
      <c r="S200" s="1">
        <v>84</v>
      </c>
      <c r="T200" s="1">
        <v>52</v>
      </c>
      <c r="U200" s="1">
        <v>33</v>
      </c>
      <c r="V200" s="36">
        <v>5.0999999999999996</v>
      </c>
    </row>
    <row r="201" spans="1:22" x14ac:dyDescent="0.2">
      <c r="A201" s="1">
        <v>20</v>
      </c>
      <c r="B201" s="1" t="s">
        <v>73</v>
      </c>
      <c r="C201" s="28">
        <v>2.37</v>
      </c>
      <c r="D201" s="1">
        <v>19</v>
      </c>
      <c r="E201" s="1">
        <v>1</v>
      </c>
      <c r="F201" s="1">
        <v>3</v>
      </c>
      <c r="G201" s="11">
        <v>2.5979999999999999</v>
      </c>
      <c r="H201" s="12">
        <v>1.4259999999999999</v>
      </c>
      <c r="I201" s="13">
        <v>2.6084999999999998</v>
      </c>
      <c r="J201" s="18">
        <f t="shared" si="5"/>
        <v>2.1970401691331927</v>
      </c>
      <c r="K201" s="18">
        <f t="shared" si="6"/>
        <v>7.2978831589370241</v>
      </c>
      <c r="L201" s="56">
        <v>5.09</v>
      </c>
      <c r="M201" s="56">
        <v>5.83</v>
      </c>
      <c r="N201" s="1">
        <v>3.8</v>
      </c>
      <c r="O201" s="28">
        <v>2.2799999999999998</v>
      </c>
      <c r="P201" s="60">
        <v>15.1</v>
      </c>
      <c r="Q201" s="1">
        <v>75</v>
      </c>
      <c r="R201" s="60">
        <v>1</v>
      </c>
      <c r="S201" s="1">
        <v>84</v>
      </c>
      <c r="T201" s="1">
        <v>52</v>
      </c>
      <c r="U201" s="1">
        <v>33</v>
      </c>
      <c r="V201" s="36">
        <v>5.0999999999999996</v>
      </c>
    </row>
    <row r="202" spans="1:22" x14ac:dyDescent="0.2">
      <c r="A202" s="1">
        <v>20</v>
      </c>
      <c r="B202" s="1" t="s">
        <v>73</v>
      </c>
      <c r="C202" s="28">
        <v>2.37</v>
      </c>
      <c r="D202" s="1">
        <v>19</v>
      </c>
      <c r="E202" s="5">
        <v>1</v>
      </c>
      <c r="F202" s="5">
        <v>4</v>
      </c>
      <c r="G202" s="14">
        <v>2.5880000000000001</v>
      </c>
      <c r="H202" s="9">
        <v>1.419</v>
      </c>
      <c r="I202" s="15">
        <v>2.597</v>
      </c>
      <c r="J202" s="19">
        <f t="shared" si="5"/>
        <v>2.1969439728353142</v>
      </c>
      <c r="K202" s="19">
        <f t="shared" si="6"/>
        <v>7.3019420744593226</v>
      </c>
      <c r="L202" s="58">
        <v>5.09</v>
      </c>
      <c r="M202" s="58">
        <v>5.83</v>
      </c>
      <c r="N202" s="5">
        <v>3.8</v>
      </c>
      <c r="O202" s="53">
        <v>2.2799999999999998</v>
      </c>
      <c r="P202" s="62">
        <v>15.1</v>
      </c>
      <c r="Q202" s="5">
        <v>75</v>
      </c>
      <c r="R202" s="62">
        <v>1</v>
      </c>
      <c r="S202" s="5">
        <v>84</v>
      </c>
      <c r="T202" s="5">
        <v>52</v>
      </c>
      <c r="U202" s="5">
        <v>33</v>
      </c>
      <c r="V202" s="43">
        <v>5.0999999999999996</v>
      </c>
    </row>
    <row r="203" spans="1:22" x14ac:dyDescent="0.2">
      <c r="A203" s="1">
        <v>20</v>
      </c>
      <c r="B203" s="1" t="s">
        <v>74</v>
      </c>
      <c r="C203" s="28">
        <v>2.37</v>
      </c>
      <c r="D203" s="1">
        <v>19</v>
      </c>
      <c r="E203" s="26">
        <v>2</v>
      </c>
      <c r="F203" s="26">
        <v>0</v>
      </c>
      <c r="G203" s="21">
        <v>24.082000000000001</v>
      </c>
      <c r="H203" s="22">
        <v>13.391999999999999</v>
      </c>
      <c r="I203" s="23">
        <v>24.4255</v>
      </c>
      <c r="J203" s="24">
        <f t="shared" si="5"/>
        <v>2.1826256400960711</v>
      </c>
      <c r="K203" s="24">
        <f t="shared" si="6"/>
        <v>7.9060911351868768</v>
      </c>
      <c r="L203" s="56">
        <v>5.09</v>
      </c>
      <c r="M203" s="56">
        <v>5.83</v>
      </c>
      <c r="N203" s="1">
        <v>3.8</v>
      </c>
      <c r="O203" s="28">
        <v>2.2799999999999998</v>
      </c>
      <c r="P203" s="60">
        <v>15.1</v>
      </c>
      <c r="Q203" s="1">
        <v>75</v>
      </c>
      <c r="R203" s="60">
        <v>1</v>
      </c>
      <c r="S203" s="1">
        <v>84</v>
      </c>
      <c r="T203" s="1">
        <v>52</v>
      </c>
      <c r="U203" s="1">
        <v>33</v>
      </c>
      <c r="V203" s="36">
        <v>5.0999999999999996</v>
      </c>
    </row>
    <row r="204" spans="1:22" x14ac:dyDescent="0.2">
      <c r="A204" s="1">
        <v>20</v>
      </c>
      <c r="B204" s="1" t="s">
        <v>74</v>
      </c>
      <c r="C204" s="28">
        <v>2.37</v>
      </c>
      <c r="D204" s="1">
        <v>19</v>
      </c>
      <c r="E204" s="1">
        <v>2</v>
      </c>
      <c r="F204" s="1">
        <v>1</v>
      </c>
      <c r="G204" s="11">
        <v>2.5514999999999999</v>
      </c>
      <c r="H204" s="12">
        <v>1.4015</v>
      </c>
      <c r="I204" s="13">
        <v>2.5594999999999999</v>
      </c>
      <c r="J204" s="18">
        <f t="shared" ref="J204:J247" si="7">+IF(G204=0,"",G204/(I204-H204))</f>
        <v>2.2033678756476682</v>
      </c>
      <c r="K204" s="18">
        <f t="shared" si="6"/>
        <v>7.0308913228832033</v>
      </c>
      <c r="L204" s="56">
        <v>5.09</v>
      </c>
      <c r="M204" s="56">
        <v>5.83</v>
      </c>
      <c r="N204" s="1">
        <v>3.8</v>
      </c>
      <c r="O204" s="28">
        <v>2.2799999999999998</v>
      </c>
      <c r="P204" s="60">
        <v>15.1</v>
      </c>
      <c r="Q204" s="1">
        <v>75</v>
      </c>
      <c r="R204" s="60">
        <v>1</v>
      </c>
      <c r="S204" s="1">
        <v>84</v>
      </c>
      <c r="T204" s="1">
        <v>52</v>
      </c>
      <c r="U204" s="1">
        <v>33</v>
      </c>
      <c r="V204" s="36">
        <v>5.0999999999999996</v>
      </c>
    </row>
    <row r="205" spans="1:22" x14ac:dyDescent="0.2">
      <c r="A205" s="1">
        <v>20</v>
      </c>
      <c r="B205" s="1" t="s">
        <v>74</v>
      </c>
      <c r="C205" s="28">
        <v>2.37</v>
      </c>
      <c r="D205" s="1">
        <v>19</v>
      </c>
      <c r="E205" s="1">
        <v>2</v>
      </c>
      <c r="F205" s="1">
        <v>2</v>
      </c>
      <c r="G205" s="11">
        <v>2.6515</v>
      </c>
      <c r="H205" s="12">
        <v>1.4544999999999999</v>
      </c>
      <c r="I205" s="13">
        <v>2.66</v>
      </c>
      <c r="J205" s="18">
        <f t="shared" si="7"/>
        <v>2.1995022812111151</v>
      </c>
      <c r="K205" s="18">
        <f t="shared" si="6"/>
        <v>7.1939965733706757</v>
      </c>
      <c r="L205" s="56">
        <v>5.09</v>
      </c>
      <c r="M205" s="56">
        <v>5.83</v>
      </c>
      <c r="N205" s="1">
        <v>3.8</v>
      </c>
      <c r="O205" s="28">
        <v>2.2799999999999998</v>
      </c>
      <c r="P205" s="60">
        <v>15.1</v>
      </c>
      <c r="Q205" s="1">
        <v>75</v>
      </c>
      <c r="R205" s="60">
        <v>1</v>
      </c>
      <c r="S205" s="1">
        <v>84</v>
      </c>
      <c r="T205" s="1">
        <v>52</v>
      </c>
      <c r="U205" s="1">
        <v>33</v>
      </c>
      <c r="V205" s="36">
        <v>5.0999999999999996</v>
      </c>
    </row>
    <row r="206" spans="1:22" x14ac:dyDescent="0.2">
      <c r="A206" s="1">
        <v>20</v>
      </c>
      <c r="B206" s="1" t="s">
        <v>74</v>
      </c>
      <c r="C206" s="28">
        <v>2.37</v>
      </c>
      <c r="D206" s="1">
        <v>19</v>
      </c>
      <c r="E206" s="1">
        <v>2</v>
      </c>
      <c r="F206" s="1">
        <v>3</v>
      </c>
      <c r="G206" s="11">
        <v>2.5939999999999999</v>
      </c>
      <c r="H206" s="12">
        <v>1.427</v>
      </c>
      <c r="I206" s="13">
        <v>2.6015000000000001</v>
      </c>
      <c r="J206" s="18">
        <f t="shared" si="7"/>
        <v>2.2085994040017027</v>
      </c>
      <c r="K206" s="18">
        <f t="shared" si="6"/>
        <v>6.8101517298859608</v>
      </c>
      <c r="L206" s="56">
        <v>5.09</v>
      </c>
      <c r="M206" s="56">
        <v>5.83</v>
      </c>
      <c r="N206" s="1">
        <v>3.8</v>
      </c>
      <c r="O206" s="28">
        <v>2.2799999999999998</v>
      </c>
      <c r="P206" s="60">
        <v>15.1</v>
      </c>
      <c r="Q206" s="1">
        <v>75</v>
      </c>
      <c r="R206" s="60">
        <v>1</v>
      </c>
      <c r="S206" s="1">
        <v>84</v>
      </c>
      <c r="T206" s="1">
        <v>52</v>
      </c>
      <c r="U206" s="1">
        <v>33</v>
      </c>
      <c r="V206" s="36">
        <v>5.0999999999999996</v>
      </c>
    </row>
    <row r="207" spans="1:22" ht="16" thickBot="1" x14ac:dyDescent="0.25">
      <c r="A207" s="1">
        <v>20</v>
      </c>
      <c r="B207" s="1" t="s">
        <v>74</v>
      </c>
      <c r="C207" s="29">
        <v>2.37</v>
      </c>
      <c r="D207" s="2">
        <v>19</v>
      </c>
      <c r="E207" s="2">
        <v>2</v>
      </c>
      <c r="F207" s="2">
        <v>4</v>
      </c>
      <c r="G207" s="16">
        <v>2.59</v>
      </c>
      <c r="H207" s="10">
        <v>1.4265000000000001</v>
      </c>
      <c r="I207" s="17">
        <v>2.6</v>
      </c>
      <c r="J207" s="20">
        <f t="shared" si="7"/>
        <v>2.2070728589688962</v>
      </c>
      <c r="K207" s="20">
        <f t="shared" si="6"/>
        <v>6.8745629127048069</v>
      </c>
      <c r="L207" s="57">
        <v>5.09</v>
      </c>
      <c r="M207" s="57">
        <v>5.83</v>
      </c>
      <c r="N207" s="2">
        <v>3.8</v>
      </c>
      <c r="O207" s="29">
        <v>2.2799999999999998</v>
      </c>
      <c r="P207" s="61">
        <v>15.1</v>
      </c>
      <c r="Q207" s="2">
        <v>75</v>
      </c>
      <c r="R207" s="61">
        <v>1</v>
      </c>
      <c r="S207" s="2">
        <v>84</v>
      </c>
      <c r="T207" s="2">
        <v>52</v>
      </c>
      <c r="U207" s="2">
        <v>33</v>
      </c>
      <c r="V207" s="4">
        <v>5.0999999999999996</v>
      </c>
    </row>
    <row r="208" spans="1:22" x14ac:dyDescent="0.2">
      <c r="A208" s="1">
        <v>21</v>
      </c>
      <c r="B208" s="1" t="s">
        <v>75</v>
      </c>
      <c r="C208" s="28">
        <v>2.4060000000000001</v>
      </c>
      <c r="D208" s="1">
        <v>19</v>
      </c>
      <c r="E208" s="26">
        <v>1</v>
      </c>
      <c r="F208" s="26">
        <v>0</v>
      </c>
      <c r="G208" s="21">
        <v>24.094999999999999</v>
      </c>
      <c r="H208" s="22">
        <v>13.4465</v>
      </c>
      <c r="I208" s="23">
        <v>24.317</v>
      </c>
      <c r="J208" s="24">
        <f t="shared" si="7"/>
        <v>2.2165493767535991</v>
      </c>
      <c r="K208" s="24">
        <f t="shared" si="6"/>
        <v>7.8740907417456762</v>
      </c>
      <c r="L208" s="56">
        <v>4.71</v>
      </c>
      <c r="M208" s="56">
        <v>5.55</v>
      </c>
      <c r="N208" s="1">
        <v>3.4</v>
      </c>
      <c r="O208" s="28">
        <v>2.3239999999999998</v>
      </c>
      <c r="P208" s="60">
        <v>14.1</v>
      </c>
      <c r="Q208" s="1">
        <v>76</v>
      </c>
      <c r="R208" s="60">
        <v>1.1000000000000001</v>
      </c>
      <c r="S208" s="1">
        <v>85</v>
      </c>
      <c r="T208" s="1">
        <v>52</v>
      </c>
      <c r="U208" s="1">
        <v>35</v>
      </c>
      <c r="V208" s="36">
        <v>5.3</v>
      </c>
    </row>
    <row r="209" spans="1:22" x14ac:dyDescent="0.2">
      <c r="A209" s="1">
        <v>21</v>
      </c>
      <c r="B209" s="1" t="s">
        <v>75</v>
      </c>
      <c r="C209" s="28">
        <v>2.4060000000000001</v>
      </c>
      <c r="D209" s="1">
        <v>19</v>
      </c>
      <c r="E209" s="1">
        <v>1</v>
      </c>
      <c r="F209" s="1">
        <v>1</v>
      </c>
      <c r="G209" s="11">
        <v>2.7565</v>
      </c>
      <c r="H209" s="12">
        <v>1.5349999999999999</v>
      </c>
      <c r="I209" s="13">
        <v>2.762</v>
      </c>
      <c r="J209" s="18">
        <f t="shared" si="7"/>
        <v>2.2465362673186631</v>
      </c>
      <c r="K209" s="18">
        <f t="shared" si="6"/>
        <v>6.6277528130231573</v>
      </c>
      <c r="L209" s="56">
        <v>4.71</v>
      </c>
      <c r="M209" s="56">
        <v>5.55</v>
      </c>
      <c r="N209" s="1">
        <v>3.4</v>
      </c>
      <c r="O209" s="28">
        <v>2.3239999999999998</v>
      </c>
      <c r="P209" s="60">
        <v>14.1</v>
      </c>
      <c r="Q209" s="1">
        <v>76</v>
      </c>
      <c r="R209" s="60">
        <v>1.1000000000000001</v>
      </c>
      <c r="S209" s="1">
        <v>85</v>
      </c>
      <c r="T209" s="1">
        <v>52</v>
      </c>
      <c r="U209" s="1">
        <v>35</v>
      </c>
      <c r="V209" s="36">
        <v>5.3</v>
      </c>
    </row>
    <row r="210" spans="1:22" x14ac:dyDescent="0.2">
      <c r="A210" s="1">
        <v>21</v>
      </c>
      <c r="B210" s="1" t="s">
        <v>75</v>
      </c>
      <c r="C210" s="28">
        <v>2.4060000000000001</v>
      </c>
      <c r="D210" s="1">
        <v>19</v>
      </c>
      <c r="E210" s="1">
        <v>1</v>
      </c>
      <c r="F210" s="1">
        <v>2</v>
      </c>
      <c r="G210" s="11">
        <v>2.6659999999999999</v>
      </c>
      <c r="H210" s="12">
        <v>1.4870000000000001</v>
      </c>
      <c r="I210" s="13">
        <v>2.6680000000000001</v>
      </c>
      <c r="J210" s="18">
        <f t="shared" si="7"/>
        <v>2.2574089754445383</v>
      </c>
      <c r="K210" s="18">
        <f t="shared" si="6"/>
        <v>6.1758530571679904</v>
      </c>
      <c r="L210" s="56">
        <v>4.71</v>
      </c>
      <c r="M210" s="56">
        <v>5.55</v>
      </c>
      <c r="N210" s="1">
        <v>3.4</v>
      </c>
      <c r="O210" s="28">
        <v>2.3239999999999998</v>
      </c>
      <c r="P210" s="60">
        <v>14.1</v>
      </c>
      <c r="Q210" s="1">
        <v>76</v>
      </c>
      <c r="R210" s="60">
        <v>1.1000000000000001</v>
      </c>
      <c r="S210" s="1">
        <v>85</v>
      </c>
      <c r="T210" s="1">
        <v>52</v>
      </c>
      <c r="U210" s="1">
        <v>35</v>
      </c>
      <c r="V210" s="36">
        <v>5.3</v>
      </c>
    </row>
    <row r="211" spans="1:22" x14ac:dyDescent="0.2">
      <c r="A211" s="1">
        <v>21</v>
      </c>
      <c r="B211" s="1" t="s">
        <v>75</v>
      </c>
      <c r="C211" s="28">
        <v>2.4060000000000001</v>
      </c>
      <c r="D211" s="1">
        <v>19</v>
      </c>
      <c r="E211" s="1">
        <v>1</v>
      </c>
      <c r="F211" s="1">
        <v>3</v>
      </c>
      <c r="G211" s="11">
        <v>2.7665000000000002</v>
      </c>
      <c r="H211" s="12">
        <v>1.5429999999999999</v>
      </c>
      <c r="I211" s="13">
        <v>2.77</v>
      </c>
      <c r="J211" s="18">
        <f t="shared" si="7"/>
        <v>2.2546862265688672</v>
      </c>
      <c r="K211" s="18">
        <f t="shared" si="6"/>
        <v>6.28901801459405</v>
      </c>
      <c r="L211" s="56">
        <v>4.71</v>
      </c>
      <c r="M211" s="56">
        <v>5.55</v>
      </c>
      <c r="N211" s="1">
        <v>3.4</v>
      </c>
      <c r="O211" s="28">
        <v>2.3239999999999998</v>
      </c>
      <c r="P211" s="60">
        <v>14.1</v>
      </c>
      <c r="Q211" s="1">
        <v>76</v>
      </c>
      <c r="R211" s="60">
        <v>1.1000000000000001</v>
      </c>
      <c r="S211" s="1">
        <v>85</v>
      </c>
      <c r="T211" s="1">
        <v>52</v>
      </c>
      <c r="U211" s="1">
        <v>35</v>
      </c>
      <c r="V211" s="36">
        <v>5.3</v>
      </c>
    </row>
    <row r="212" spans="1:22" x14ac:dyDescent="0.2">
      <c r="A212" s="1">
        <v>21</v>
      </c>
      <c r="B212" s="1" t="s">
        <v>75</v>
      </c>
      <c r="C212" s="28">
        <v>2.4060000000000001</v>
      </c>
      <c r="D212" s="1">
        <v>19</v>
      </c>
      <c r="E212" s="5">
        <v>1</v>
      </c>
      <c r="F212" s="5">
        <v>4</v>
      </c>
      <c r="G212" s="14">
        <v>2.613</v>
      </c>
      <c r="H212" s="9">
        <v>1.4524999999999999</v>
      </c>
      <c r="I212" s="15">
        <v>2.6179999999999999</v>
      </c>
      <c r="J212" s="19">
        <f t="shared" si="7"/>
        <v>2.2419562419562418</v>
      </c>
      <c r="K212" s="19">
        <f t="shared" si="6"/>
        <v>6.8181113068893744</v>
      </c>
      <c r="L212" s="58">
        <v>4.71</v>
      </c>
      <c r="M212" s="58">
        <v>5.55</v>
      </c>
      <c r="N212" s="5">
        <v>3.4</v>
      </c>
      <c r="O212" s="53">
        <v>2.3239999999999998</v>
      </c>
      <c r="P212" s="62">
        <v>14.1</v>
      </c>
      <c r="Q212" s="5">
        <v>76</v>
      </c>
      <c r="R212" s="62">
        <v>1.1000000000000001</v>
      </c>
      <c r="S212" s="5">
        <v>85</v>
      </c>
      <c r="T212" s="5">
        <v>52</v>
      </c>
      <c r="U212" s="5">
        <v>35</v>
      </c>
      <c r="V212" s="43">
        <v>5.3</v>
      </c>
    </row>
    <row r="213" spans="1:22" x14ac:dyDescent="0.2">
      <c r="A213" s="1">
        <v>21</v>
      </c>
      <c r="B213" s="1" t="s">
        <v>76</v>
      </c>
      <c r="C213" s="28">
        <v>2.4060000000000001</v>
      </c>
      <c r="D213" s="1">
        <v>19</v>
      </c>
      <c r="E213" s="26">
        <v>2</v>
      </c>
      <c r="F213" s="26">
        <v>0</v>
      </c>
      <c r="G213" s="21">
        <v>24.027000000000001</v>
      </c>
      <c r="H213" s="22">
        <v>13.476000000000001</v>
      </c>
      <c r="I213" s="23">
        <v>24.282</v>
      </c>
      <c r="J213" s="24">
        <f t="shared" si="7"/>
        <v>2.2234869516935039</v>
      </c>
      <c r="K213" s="24">
        <f t="shared" si="6"/>
        <v>7.5857459811511374</v>
      </c>
      <c r="L213" s="56">
        <v>4.71</v>
      </c>
      <c r="M213" s="56">
        <v>5.55</v>
      </c>
      <c r="N213" s="1">
        <v>3.4</v>
      </c>
      <c r="O213" s="28">
        <v>2.3239999999999998</v>
      </c>
      <c r="P213" s="60">
        <v>14.1</v>
      </c>
      <c r="Q213" s="1">
        <v>76</v>
      </c>
      <c r="R213" s="60">
        <v>1.1000000000000001</v>
      </c>
      <c r="S213" s="1">
        <v>85</v>
      </c>
      <c r="T213" s="1">
        <v>52</v>
      </c>
      <c r="U213" s="1">
        <v>35</v>
      </c>
      <c r="V213" s="36">
        <v>5.3</v>
      </c>
    </row>
    <row r="214" spans="1:22" x14ac:dyDescent="0.2">
      <c r="A214" s="1">
        <v>21</v>
      </c>
      <c r="B214" s="1" t="s">
        <v>76</v>
      </c>
      <c r="C214" s="28">
        <v>2.4060000000000001</v>
      </c>
      <c r="D214" s="1">
        <v>19</v>
      </c>
      <c r="E214" s="1">
        <v>2</v>
      </c>
      <c r="F214" s="1">
        <v>1</v>
      </c>
      <c r="G214" s="11">
        <v>2.7425000000000002</v>
      </c>
      <c r="H214" s="12">
        <v>1.5335000000000001</v>
      </c>
      <c r="I214" s="13">
        <v>2.746</v>
      </c>
      <c r="J214" s="18">
        <f t="shared" si="7"/>
        <v>2.2618556701030932</v>
      </c>
      <c r="K214" s="18">
        <f t="shared" si="6"/>
        <v>5.9910361553161646</v>
      </c>
      <c r="L214" s="56">
        <v>4.71</v>
      </c>
      <c r="M214" s="56">
        <v>5.55</v>
      </c>
      <c r="N214" s="1">
        <v>3.4</v>
      </c>
      <c r="O214" s="28">
        <v>2.3239999999999998</v>
      </c>
      <c r="P214" s="60">
        <v>14.1</v>
      </c>
      <c r="Q214" s="1">
        <v>76</v>
      </c>
      <c r="R214" s="60">
        <v>1.1000000000000001</v>
      </c>
      <c r="S214" s="1">
        <v>85</v>
      </c>
      <c r="T214" s="1">
        <v>52</v>
      </c>
      <c r="U214" s="1">
        <v>35</v>
      </c>
      <c r="V214" s="36">
        <v>5.3</v>
      </c>
    </row>
    <row r="215" spans="1:22" x14ac:dyDescent="0.2">
      <c r="A215" s="1">
        <v>21</v>
      </c>
      <c r="B215" s="1" t="s">
        <v>76</v>
      </c>
      <c r="C215" s="28">
        <v>2.4060000000000001</v>
      </c>
      <c r="D215" s="1">
        <v>19</v>
      </c>
      <c r="E215" s="1">
        <v>2</v>
      </c>
      <c r="F215" s="1">
        <v>2</v>
      </c>
      <c r="G215" s="11">
        <v>2.6465000000000001</v>
      </c>
      <c r="H215" s="12">
        <v>1.4735</v>
      </c>
      <c r="I215" s="13">
        <v>2.6515</v>
      </c>
      <c r="J215" s="18">
        <f t="shared" si="7"/>
        <v>2.2466044142614603</v>
      </c>
      <c r="K215" s="18">
        <f t="shared" si="6"/>
        <v>6.6249204380107951</v>
      </c>
      <c r="L215" s="56">
        <v>4.71</v>
      </c>
      <c r="M215" s="56">
        <v>5.55</v>
      </c>
      <c r="N215" s="1">
        <v>3.4</v>
      </c>
      <c r="O215" s="28">
        <v>2.3239999999999998</v>
      </c>
      <c r="P215" s="60">
        <v>14.1</v>
      </c>
      <c r="Q215" s="1">
        <v>76</v>
      </c>
      <c r="R215" s="60">
        <v>1.1000000000000001</v>
      </c>
      <c r="S215" s="1">
        <v>85</v>
      </c>
      <c r="T215" s="1">
        <v>52</v>
      </c>
      <c r="U215" s="1">
        <v>35</v>
      </c>
      <c r="V215" s="36">
        <v>5.3</v>
      </c>
    </row>
    <row r="216" spans="1:22" x14ac:dyDescent="0.2">
      <c r="A216" s="1">
        <v>21</v>
      </c>
      <c r="B216" s="1" t="s">
        <v>76</v>
      </c>
      <c r="C216" s="28">
        <v>2.4060000000000001</v>
      </c>
      <c r="D216" s="1">
        <v>19</v>
      </c>
      <c r="E216" s="1">
        <v>2</v>
      </c>
      <c r="F216" s="1">
        <v>3</v>
      </c>
      <c r="G216" s="11">
        <v>2.7519999999999998</v>
      </c>
      <c r="H216" s="12">
        <v>1.538</v>
      </c>
      <c r="I216" s="13">
        <v>2.7595000000000001</v>
      </c>
      <c r="J216" s="18">
        <f t="shared" si="7"/>
        <v>2.252967662709783</v>
      </c>
      <c r="K216" s="18">
        <f t="shared" si="6"/>
        <v>6.3604462714138439</v>
      </c>
      <c r="L216" s="56">
        <v>4.71</v>
      </c>
      <c r="M216" s="56">
        <v>5.55</v>
      </c>
      <c r="N216" s="1">
        <v>3.4</v>
      </c>
      <c r="O216" s="28">
        <v>2.3239999999999998</v>
      </c>
      <c r="P216" s="60">
        <v>14.1</v>
      </c>
      <c r="Q216" s="1">
        <v>76</v>
      </c>
      <c r="R216" s="60">
        <v>1.1000000000000001</v>
      </c>
      <c r="S216" s="1">
        <v>85</v>
      </c>
      <c r="T216" s="1">
        <v>52</v>
      </c>
      <c r="U216" s="1">
        <v>35</v>
      </c>
      <c r="V216" s="36">
        <v>5.3</v>
      </c>
    </row>
    <row r="217" spans="1:22" ht="16" thickBot="1" x14ac:dyDescent="0.25">
      <c r="A217" s="1">
        <v>21</v>
      </c>
      <c r="B217" s="1" t="s">
        <v>76</v>
      </c>
      <c r="C217" s="29">
        <v>2.4060000000000001</v>
      </c>
      <c r="D217" s="2">
        <v>19</v>
      </c>
      <c r="E217" s="2">
        <v>2</v>
      </c>
      <c r="F217" s="2">
        <v>4</v>
      </c>
      <c r="G217" s="16">
        <v>2.6240000000000001</v>
      </c>
      <c r="H217" s="10">
        <v>1.4644999999999999</v>
      </c>
      <c r="I217" s="17">
        <v>2.6274999999999999</v>
      </c>
      <c r="J217" s="20">
        <f t="shared" si="7"/>
        <v>2.2562338779019777</v>
      </c>
      <c r="K217" s="20">
        <f t="shared" si="6"/>
        <v>6.2246933540325173</v>
      </c>
      <c r="L217" s="57">
        <v>4.71</v>
      </c>
      <c r="M217" s="57">
        <v>5.55</v>
      </c>
      <c r="N217" s="2">
        <v>3.4</v>
      </c>
      <c r="O217" s="29">
        <v>2.3239999999999998</v>
      </c>
      <c r="P217" s="61">
        <v>14.1</v>
      </c>
      <c r="Q217" s="2">
        <v>76</v>
      </c>
      <c r="R217" s="61">
        <v>1.1000000000000001</v>
      </c>
      <c r="S217" s="2">
        <v>85</v>
      </c>
      <c r="T217" s="2">
        <v>52</v>
      </c>
      <c r="U217" s="2">
        <v>35</v>
      </c>
      <c r="V217" s="4">
        <v>5.3</v>
      </c>
    </row>
    <row r="218" spans="1:22" x14ac:dyDescent="0.2">
      <c r="A218" s="1">
        <v>22</v>
      </c>
      <c r="B218" s="1" t="s">
        <v>77</v>
      </c>
      <c r="C218" s="28">
        <v>2.39</v>
      </c>
      <c r="D218" s="1">
        <v>19</v>
      </c>
      <c r="E218" s="26">
        <v>1</v>
      </c>
      <c r="F218" s="26">
        <v>0</v>
      </c>
      <c r="G218" s="21">
        <v>24.083500000000001</v>
      </c>
      <c r="H218" s="22">
        <v>13.413500000000001</v>
      </c>
      <c r="I218" s="23">
        <v>24.312000000000001</v>
      </c>
      <c r="J218" s="24">
        <f t="shared" si="7"/>
        <v>2.209799513694545</v>
      </c>
      <c r="K218" s="24">
        <f t="shared" si="6"/>
        <v>7.5397693014834788</v>
      </c>
      <c r="L218" s="56">
        <v>4.78</v>
      </c>
      <c r="M218" s="56">
        <v>5.76</v>
      </c>
      <c r="N218" s="1">
        <v>3</v>
      </c>
      <c r="O218" s="28">
        <v>2.3180000000000001</v>
      </c>
      <c r="P218" s="60">
        <v>13.8</v>
      </c>
      <c r="Q218" s="1">
        <v>78</v>
      </c>
      <c r="R218" s="60">
        <v>1.2</v>
      </c>
      <c r="S218" s="1">
        <v>86</v>
      </c>
      <c r="T218" s="1">
        <v>55</v>
      </c>
      <c r="U218" s="1">
        <v>38</v>
      </c>
      <c r="V218" s="36">
        <v>5.7</v>
      </c>
    </row>
    <row r="219" spans="1:22" x14ac:dyDescent="0.2">
      <c r="A219" s="1">
        <v>22</v>
      </c>
      <c r="B219" s="1" t="s">
        <v>77</v>
      </c>
      <c r="C219" s="28">
        <v>2.39</v>
      </c>
      <c r="D219" s="1">
        <v>19</v>
      </c>
      <c r="E219" s="1">
        <v>1</v>
      </c>
      <c r="F219" s="1">
        <v>1</v>
      </c>
      <c r="G219" s="11">
        <v>2.6755</v>
      </c>
      <c r="H219" s="12">
        <v>1.4950000000000001</v>
      </c>
      <c r="I219" s="13">
        <v>2.6894999999999998</v>
      </c>
      <c r="J219" s="18">
        <f t="shared" si="7"/>
        <v>2.23984930933445</v>
      </c>
      <c r="K219" s="18">
        <f t="shared" si="6"/>
        <v>6.2824556763828472</v>
      </c>
      <c r="L219" s="56">
        <v>4.78</v>
      </c>
      <c r="M219" s="56">
        <v>5.76</v>
      </c>
      <c r="N219" s="1">
        <v>3</v>
      </c>
      <c r="O219" s="28">
        <v>2.3180000000000001</v>
      </c>
      <c r="P219" s="60">
        <v>13.8</v>
      </c>
      <c r="Q219" s="1">
        <v>78</v>
      </c>
      <c r="R219" s="60">
        <v>1.2</v>
      </c>
      <c r="S219" s="1">
        <v>86</v>
      </c>
      <c r="T219" s="1">
        <v>55</v>
      </c>
      <c r="U219" s="1">
        <v>38</v>
      </c>
      <c r="V219" s="36">
        <v>5.7</v>
      </c>
    </row>
    <row r="220" spans="1:22" x14ac:dyDescent="0.2">
      <c r="A220" s="1">
        <v>22</v>
      </c>
      <c r="B220" s="1" t="s">
        <v>77</v>
      </c>
      <c r="C220" s="28">
        <v>2.39</v>
      </c>
      <c r="D220" s="1">
        <v>19</v>
      </c>
      <c r="E220" s="1">
        <v>1</v>
      </c>
      <c r="F220" s="1">
        <v>2</v>
      </c>
      <c r="G220" s="11">
        <v>2.702</v>
      </c>
      <c r="H220" s="12">
        <v>1.5069999999999999</v>
      </c>
      <c r="I220" s="13">
        <v>2.7120000000000002</v>
      </c>
      <c r="J220" s="18">
        <f t="shared" si="7"/>
        <v>2.2423236514522817</v>
      </c>
      <c r="K220" s="18">
        <f t="shared" si="6"/>
        <v>6.1789267174777613</v>
      </c>
      <c r="L220" s="56">
        <v>4.78</v>
      </c>
      <c r="M220" s="56">
        <v>5.76</v>
      </c>
      <c r="N220" s="1">
        <v>3</v>
      </c>
      <c r="O220" s="28">
        <v>2.3180000000000001</v>
      </c>
      <c r="P220" s="60">
        <v>13.8</v>
      </c>
      <c r="Q220" s="1">
        <v>78</v>
      </c>
      <c r="R220" s="60">
        <v>1.2</v>
      </c>
      <c r="S220" s="1">
        <v>86</v>
      </c>
      <c r="T220" s="1">
        <v>55</v>
      </c>
      <c r="U220" s="1">
        <v>38</v>
      </c>
      <c r="V220" s="36">
        <v>5.7</v>
      </c>
    </row>
    <row r="221" spans="1:22" x14ac:dyDescent="0.2">
      <c r="A221" s="1">
        <v>22</v>
      </c>
      <c r="B221" s="1" t="s">
        <v>77</v>
      </c>
      <c r="C221" s="28">
        <v>2.39</v>
      </c>
      <c r="D221" s="1">
        <v>19</v>
      </c>
      <c r="E221" s="1">
        <v>1</v>
      </c>
      <c r="F221" s="1">
        <v>3</v>
      </c>
      <c r="G221" s="11">
        <v>2.5525000000000002</v>
      </c>
      <c r="H221" s="12">
        <v>1.419</v>
      </c>
      <c r="I221" s="13">
        <v>2.56</v>
      </c>
      <c r="J221" s="18">
        <f t="shared" si="7"/>
        <v>2.2370727432077127</v>
      </c>
      <c r="K221" s="18">
        <f t="shared" si="6"/>
        <v>6.398629991309102</v>
      </c>
      <c r="L221" s="56">
        <v>4.78</v>
      </c>
      <c r="M221" s="56">
        <v>5.76</v>
      </c>
      <c r="N221" s="1">
        <v>3</v>
      </c>
      <c r="O221" s="28">
        <v>2.3180000000000001</v>
      </c>
      <c r="P221" s="60">
        <v>13.8</v>
      </c>
      <c r="Q221" s="1">
        <v>78</v>
      </c>
      <c r="R221" s="60">
        <v>1.2</v>
      </c>
      <c r="S221" s="1">
        <v>86</v>
      </c>
      <c r="T221" s="1">
        <v>55</v>
      </c>
      <c r="U221" s="1">
        <v>38</v>
      </c>
      <c r="V221" s="36">
        <v>5.7</v>
      </c>
    </row>
    <row r="222" spans="1:22" x14ac:dyDescent="0.2">
      <c r="A222" s="1">
        <v>22</v>
      </c>
      <c r="B222" s="1" t="s">
        <v>77</v>
      </c>
      <c r="C222" s="28">
        <v>2.39</v>
      </c>
      <c r="D222" s="1">
        <v>19</v>
      </c>
      <c r="E222" s="5">
        <v>1</v>
      </c>
      <c r="F222" s="5">
        <v>4</v>
      </c>
      <c r="G222" s="14">
        <v>2.6695000000000002</v>
      </c>
      <c r="H222" s="9">
        <v>1.494</v>
      </c>
      <c r="I222" s="15">
        <v>2.6894999999999998</v>
      </c>
      <c r="J222" s="19">
        <f t="shared" si="7"/>
        <v>2.2329569217900467</v>
      </c>
      <c r="K222" s="19">
        <f t="shared" si="6"/>
        <v>6.5708400924666677</v>
      </c>
      <c r="L222" s="58">
        <v>4.78</v>
      </c>
      <c r="M222" s="58">
        <v>5.76</v>
      </c>
      <c r="N222" s="5">
        <v>3</v>
      </c>
      <c r="O222" s="53">
        <v>2.3180000000000001</v>
      </c>
      <c r="P222" s="62">
        <v>13.8</v>
      </c>
      <c r="Q222" s="5">
        <v>78</v>
      </c>
      <c r="R222" s="62">
        <v>1.2</v>
      </c>
      <c r="S222" s="5">
        <v>86</v>
      </c>
      <c r="T222" s="5">
        <v>55</v>
      </c>
      <c r="U222" s="5">
        <v>38</v>
      </c>
      <c r="V222" s="43">
        <v>5.7</v>
      </c>
    </row>
    <row r="223" spans="1:22" x14ac:dyDescent="0.2">
      <c r="A223" s="1">
        <v>22</v>
      </c>
      <c r="B223" s="1" t="s">
        <v>78</v>
      </c>
      <c r="C223" s="28">
        <v>2.39</v>
      </c>
      <c r="D223" s="1">
        <v>19</v>
      </c>
      <c r="E223" s="26">
        <v>2</v>
      </c>
      <c r="F223" s="26">
        <v>0</v>
      </c>
      <c r="G223" s="21">
        <v>24.032</v>
      </c>
      <c r="H223" s="22">
        <v>13.336499999999999</v>
      </c>
      <c r="I223" s="23">
        <v>24.250499999999999</v>
      </c>
      <c r="J223" s="24">
        <f t="shared" si="7"/>
        <v>2.2019424592266814</v>
      </c>
      <c r="K223" s="24">
        <f t="shared" si="6"/>
        <v>7.8685163503480648</v>
      </c>
      <c r="L223" s="56">
        <v>4.78</v>
      </c>
      <c r="M223" s="56">
        <v>5.76</v>
      </c>
      <c r="N223" s="1">
        <v>3</v>
      </c>
      <c r="O223" s="28">
        <v>2.3180000000000001</v>
      </c>
      <c r="P223" s="60">
        <v>13.8</v>
      </c>
      <c r="Q223" s="1">
        <v>78</v>
      </c>
      <c r="R223" s="60">
        <v>1.2</v>
      </c>
      <c r="S223" s="1">
        <v>86</v>
      </c>
      <c r="T223" s="1">
        <v>55</v>
      </c>
      <c r="U223" s="1">
        <v>38</v>
      </c>
      <c r="V223" s="36">
        <v>5.7</v>
      </c>
    </row>
    <row r="224" spans="1:22" x14ac:dyDescent="0.2">
      <c r="A224" s="1">
        <v>22</v>
      </c>
      <c r="B224" s="1" t="s">
        <v>78</v>
      </c>
      <c r="C224" s="28">
        <v>2.39</v>
      </c>
      <c r="D224" s="1">
        <v>19</v>
      </c>
      <c r="E224" s="1">
        <v>2</v>
      </c>
      <c r="F224" s="1">
        <v>1</v>
      </c>
      <c r="G224" s="11">
        <v>2.6920000000000002</v>
      </c>
      <c r="H224" s="12">
        <v>1.482</v>
      </c>
      <c r="I224" s="13">
        <v>2.7065000000000001</v>
      </c>
      <c r="J224" s="18">
        <f t="shared" si="7"/>
        <v>2.1984483462637812</v>
      </c>
      <c r="K224" s="18">
        <f t="shared" si="6"/>
        <v>8.0147135454484939</v>
      </c>
      <c r="L224" s="56">
        <v>4.78</v>
      </c>
      <c r="M224" s="56">
        <v>5.76</v>
      </c>
      <c r="N224" s="1">
        <v>3</v>
      </c>
      <c r="O224" s="28">
        <v>2.3180000000000001</v>
      </c>
      <c r="P224" s="60">
        <v>13.8</v>
      </c>
      <c r="Q224" s="1">
        <v>78</v>
      </c>
      <c r="R224" s="60">
        <v>1.2</v>
      </c>
      <c r="S224" s="1">
        <v>86</v>
      </c>
      <c r="T224" s="1">
        <v>55</v>
      </c>
      <c r="U224" s="1">
        <v>38</v>
      </c>
      <c r="V224" s="36">
        <v>5.7</v>
      </c>
    </row>
    <row r="225" spans="1:22" x14ac:dyDescent="0.2">
      <c r="A225" s="1">
        <v>22</v>
      </c>
      <c r="B225" s="1" t="s">
        <v>78</v>
      </c>
      <c r="C225" s="28">
        <v>2.39</v>
      </c>
      <c r="D225" s="1">
        <v>19</v>
      </c>
      <c r="E225" s="1">
        <v>2</v>
      </c>
      <c r="F225" s="1">
        <v>2</v>
      </c>
      <c r="G225" s="11">
        <v>2.7065000000000001</v>
      </c>
      <c r="H225" s="12">
        <v>1.502</v>
      </c>
      <c r="I225" s="13">
        <v>2.7214999999999998</v>
      </c>
      <c r="J225" s="18">
        <f t="shared" si="7"/>
        <v>2.2193521935219356</v>
      </c>
      <c r="K225" s="18">
        <f t="shared" si="6"/>
        <v>7.1400755848562536</v>
      </c>
      <c r="L225" s="56">
        <v>4.78</v>
      </c>
      <c r="M225" s="56">
        <v>5.76</v>
      </c>
      <c r="N225" s="1">
        <v>3</v>
      </c>
      <c r="O225" s="28">
        <v>2.3180000000000001</v>
      </c>
      <c r="P225" s="60">
        <v>13.8</v>
      </c>
      <c r="Q225" s="1">
        <v>78</v>
      </c>
      <c r="R225" s="60">
        <v>1.2</v>
      </c>
      <c r="S225" s="1">
        <v>86</v>
      </c>
      <c r="T225" s="1">
        <v>55</v>
      </c>
      <c r="U225" s="1">
        <v>38</v>
      </c>
      <c r="V225" s="36">
        <v>5.7</v>
      </c>
    </row>
    <row r="226" spans="1:22" x14ac:dyDescent="0.2">
      <c r="A226" s="1">
        <v>22</v>
      </c>
      <c r="B226" s="1" t="s">
        <v>78</v>
      </c>
      <c r="C226" s="28">
        <v>2.39</v>
      </c>
      <c r="D226" s="1">
        <v>19</v>
      </c>
      <c r="E226" s="1">
        <v>2</v>
      </c>
      <c r="F226" s="1">
        <v>3</v>
      </c>
      <c r="G226" s="11">
        <v>2.62</v>
      </c>
      <c r="H226" s="12">
        <v>1.4575</v>
      </c>
      <c r="I226" s="13">
        <v>2.6345000000000001</v>
      </c>
      <c r="J226" s="18">
        <f t="shared" si="7"/>
        <v>2.225998300764656</v>
      </c>
      <c r="K226" s="18">
        <f t="shared" si="6"/>
        <v>6.8619957839056163</v>
      </c>
      <c r="L226" s="56">
        <v>4.78</v>
      </c>
      <c r="M226" s="56">
        <v>5.76</v>
      </c>
      <c r="N226" s="1">
        <v>3</v>
      </c>
      <c r="O226" s="28">
        <v>2.3180000000000001</v>
      </c>
      <c r="P226" s="60">
        <v>13.8</v>
      </c>
      <c r="Q226" s="1">
        <v>78</v>
      </c>
      <c r="R226" s="60">
        <v>1.2</v>
      </c>
      <c r="S226" s="1">
        <v>86</v>
      </c>
      <c r="T226" s="1">
        <v>55</v>
      </c>
      <c r="U226" s="1">
        <v>38</v>
      </c>
      <c r="V226" s="36">
        <v>5.7</v>
      </c>
    </row>
    <row r="227" spans="1:22" ht="16" thickBot="1" x14ac:dyDescent="0.25">
      <c r="A227" s="1">
        <v>22</v>
      </c>
      <c r="B227" s="1" t="s">
        <v>78</v>
      </c>
      <c r="C227" s="29">
        <v>2.39</v>
      </c>
      <c r="D227" s="2">
        <v>19</v>
      </c>
      <c r="E227" s="2">
        <v>2</v>
      </c>
      <c r="F227" s="2">
        <v>4</v>
      </c>
      <c r="G227" s="16">
        <v>2.6305000000000001</v>
      </c>
      <c r="H227" s="10">
        <v>1.466</v>
      </c>
      <c r="I227" s="17">
        <v>2.65</v>
      </c>
      <c r="J227" s="20">
        <f t="shared" si="7"/>
        <v>2.2217060810810811</v>
      </c>
      <c r="K227" s="20">
        <f t="shared" si="6"/>
        <v>7.041586565645142</v>
      </c>
      <c r="L227" s="57">
        <v>4.78</v>
      </c>
      <c r="M227" s="57">
        <v>5.76</v>
      </c>
      <c r="N227" s="2">
        <v>3</v>
      </c>
      <c r="O227" s="29">
        <v>2.3180000000000001</v>
      </c>
      <c r="P227" s="61">
        <v>13.8</v>
      </c>
      <c r="Q227" s="2">
        <v>78</v>
      </c>
      <c r="R227" s="61">
        <v>1.2</v>
      </c>
      <c r="S227" s="2">
        <v>86</v>
      </c>
      <c r="T227" s="2">
        <v>55</v>
      </c>
      <c r="U227" s="2">
        <v>38</v>
      </c>
      <c r="V227" s="4">
        <v>5.7</v>
      </c>
    </row>
    <row r="228" spans="1:22" x14ac:dyDescent="0.2">
      <c r="A228" s="1">
        <v>23</v>
      </c>
      <c r="B228" s="1" t="s">
        <v>79</v>
      </c>
      <c r="C228" s="28">
        <v>2.41</v>
      </c>
      <c r="D228" s="1">
        <v>19</v>
      </c>
      <c r="E228" s="26">
        <v>1</v>
      </c>
      <c r="F228" s="26">
        <v>0</v>
      </c>
      <c r="G228" s="21">
        <v>23.9055</v>
      </c>
      <c r="H228" s="22">
        <v>13.401</v>
      </c>
      <c r="I228" s="23">
        <v>24.184000000000001</v>
      </c>
      <c r="J228" s="24">
        <f t="shared" si="7"/>
        <v>2.2169618844477417</v>
      </c>
      <c r="K228" s="24">
        <f t="shared" si="6"/>
        <v>8.0098803133717205</v>
      </c>
      <c r="L228" s="56">
        <v>4.45</v>
      </c>
      <c r="M228" s="56">
        <v>5.47</v>
      </c>
      <c r="N228" s="1">
        <v>3.3</v>
      </c>
      <c r="O228" s="28">
        <v>2.3290000000000002</v>
      </c>
      <c r="P228" s="60">
        <v>13.5</v>
      </c>
      <c r="Q228" s="1">
        <v>75</v>
      </c>
      <c r="R228" s="60">
        <v>1.2</v>
      </c>
      <c r="S228" s="1">
        <v>85</v>
      </c>
      <c r="T228" s="1">
        <v>53</v>
      </c>
      <c r="U228" s="1">
        <v>36</v>
      </c>
      <c r="V228" s="36">
        <v>5.4</v>
      </c>
    </row>
    <row r="229" spans="1:22" x14ac:dyDescent="0.2">
      <c r="A229" s="1">
        <v>23</v>
      </c>
      <c r="B229" s="1" t="s">
        <v>79</v>
      </c>
      <c r="C229" s="28">
        <v>2.41</v>
      </c>
      <c r="D229" s="1">
        <v>19</v>
      </c>
      <c r="E229" s="1">
        <v>1</v>
      </c>
      <c r="F229" s="1">
        <v>1</v>
      </c>
      <c r="G229" s="11">
        <v>2.6760000000000002</v>
      </c>
      <c r="H229" s="12">
        <v>1.486</v>
      </c>
      <c r="I229" s="13">
        <v>2.6825000000000001</v>
      </c>
      <c r="J229" s="18">
        <f>+IF(G229=0,"",G229/(I229-H229))</f>
        <v>2.2365231926452149</v>
      </c>
      <c r="K229" s="18">
        <f t="shared" si="6"/>
        <v>7.1982077740574741</v>
      </c>
      <c r="L229" s="56">
        <v>4.45</v>
      </c>
      <c r="M229" s="56">
        <v>5.47</v>
      </c>
      <c r="N229" s="1">
        <v>3.3</v>
      </c>
      <c r="O229" s="28">
        <v>2.3290000000000002</v>
      </c>
      <c r="P229" s="60">
        <v>13.5</v>
      </c>
      <c r="Q229" s="1">
        <v>75</v>
      </c>
      <c r="R229" s="60">
        <v>1.2</v>
      </c>
      <c r="S229" s="1">
        <v>85</v>
      </c>
      <c r="T229" s="1">
        <v>53</v>
      </c>
      <c r="U229" s="1">
        <v>36</v>
      </c>
      <c r="V229" s="36">
        <v>5.4</v>
      </c>
    </row>
    <row r="230" spans="1:22" x14ac:dyDescent="0.2">
      <c r="A230" s="1">
        <v>23</v>
      </c>
      <c r="B230" s="1" t="s">
        <v>79</v>
      </c>
      <c r="C230" s="28">
        <v>2.41</v>
      </c>
      <c r="D230" s="1">
        <v>19</v>
      </c>
      <c r="E230" s="1">
        <v>1</v>
      </c>
      <c r="F230" s="1">
        <v>2</v>
      </c>
      <c r="G230" s="11">
        <v>2.653</v>
      </c>
      <c r="H230" s="12">
        <v>1.4764999999999999</v>
      </c>
      <c r="I230" s="13">
        <v>2.6589999999999998</v>
      </c>
      <c r="J230" s="18">
        <f>+IF(G230=0,"",G230/(I230-H230))</f>
        <v>2.2435517970401695</v>
      </c>
      <c r="K230" s="18">
        <f t="shared" si="6"/>
        <v>6.9065644381672513</v>
      </c>
      <c r="L230" s="56">
        <v>4.45</v>
      </c>
      <c r="M230" s="56">
        <v>5.47</v>
      </c>
      <c r="N230" s="1">
        <v>3.3</v>
      </c>
      <c r="O230" s="28">
        <v>2.3290000000000002</v>
      </c>
      <c r="P230" s="60">
        <v>13.5</v>
      </c>
      <c r="Q230" s="1">
        <v>75</v>
      </c>
      <c r="R230" s="60">
        <v>1.2</v>
      </c>
      <c r="S230" s="1">
        <v>85</v>
      </c>
      <c r="T230" s="1">
        <v>53</v>
      </c>
      <c r="U230" s="1">
        <v>36</v>
      </c>
      <c r="V230" s="36">
        <v>5.4</v>
      </c>
    </row>
    <row r="231" spans="1:22" x14ac:dyDescent="0.2">
      <c r="A231" s="1">
        <v>23</v>
      </c>
      <c r="B231" s="1" t="s">
        <v>79</v>
      </c>
      <c r="C231" s="28">
        <v>2.41</v>
      </c>
      <c r="D231" s="1">
        <v>19</v>
      </c>
      <c r="E231" s="1">
        <v>1</v>
      </c>
      <c r="F231" s="1">
        <v>3</v>
      </c>
      <c r="G231" s="11">
        <v>2.7052</v>
      </c>
      <c r="H231" s="12">
        <v>1.5145</v>
      </c>
      <c r="I231" s="13">
        <v>2.7160000000000002</v>
      </c>
      <c r="J231" s="18">
        <f>+IF(G231=0,"",G231/(I231-H231))</f>
        <v>2.2515189346650017</v>
      </c>
      <c r="K231" s="18">
        <f t="shared" si="6"/>
        <v>6.5759778147302272</v>
      </c>
      <c r="L231" s="56">
        <v>4.45</v>
      </c>
      <c r="M231" s="56">
        <v>5.47</v>
      </c>
      <c r="N231" s="1">
        <v>3.3</v>
      </c>
      <c r="O231" s="28">
        <v>2.3290000000000002</v>
      </c>
      <c r="P231" s="60">
        <v>13.5</v>
      </c>
      <c r="Q231" s="1">
        <v>75</v>
      </c>
      <c r="R231" s="60">
        <v>1.2</v>
      </c>
      <c r="S231" s="1">
        <v>85</v>
      </c>
      <c r="T231" s="1">
        <v>53</v>
      </c>
      <c r="U231" s="1">
        <v>36</v>
      </c>
      <c r="V231" s="36">
        <v>5.4</v>
      </c>
    </row>
    <row r="232" spans="1:22" x14ac:dyDescent="0.2">
      <c r="A232" s="1">
        <v>23</v>
      </c>
      <c r="B232" s="1" t="s">
        <v>79</v>
      </c>
      <c r="C232" s="28">
        <v>2.41</v>
      </c>
      <c r="D232" s="1">
        <v>19</v>
      </c>
      <c r="E232" s="5">
        <v>1</v>
      </c>
      <c r="F232" s="5">
        <v>4</v>
      </c>
      <c r="G232" s="14">
        <v>2.6739999999999999</v>
      </c>
      <c r="H232" s="9">
        <v>1.49</v>
      </c>
      <c r="I232" s="15">
        <v>2.681</v>
      </c>
      <c r="J232" s="19">
        <f>+IF(G232=0,"",G232/(I232-H232))</f>
        <v>2.2451721242653231</v>
      </c>
      <c r="K232" s="19">
        <f t="shared" si="6"/>
        <v>6.8393309433475995</v>
      </c>
      <c r="L232" s="58">
        <v>4.45</v>
      </c>
      <c r="M232" s="58">
        <v>5.47</v>
      </c>
      <c r="N232" s="5">
        <v>3.3</v>
      </c>
      <c r="O232" s="53">
        <v>2.3290000000000002</v>
      </c>
      <c r="P232" s="62">
        <v>13.5</v>
      </c>
      <c r="Q232" s="5">
        <v>75</v>
      </c>
      <c r="R232" s="62">
        <v>1.2</v>
      </c>
      <c r="S232" s="5">
        <v>85</v>
      </c>
      <c r="T232" s="5">
        <v>53</v>
      </c>
      <c r="U232" s="5">
        <v>36</v>
      </c>
      <c r="V232" s="43">
        <v>5.4</v>
      </c>
    </row>
    <row r="233" spans="1:22" x14ac:dyDescent="0.2">
      <c r="A233" s="1">
        <v>23</v>
      </c>
      <c r="B233" s="1" t="s">
        <v>80</v>
      </c>
      <c r="C233" s="28">
        <v>2.41</v>
      </c>
      <c r="D233" s="1">
        <v>19</v>
      </c>
      <c r="E233" s="26">
        <v>2</v>
      </c>
      <c r="F233" s="26">
        <v>0</v>
      </c>
      <c r="G233" s="21">
        <v>23.919499999999999</v>
      </c>
      <c r="H233" s="22">
        <v>13.4405</v>
      </c>
      <c r="I233" s="23">
        <v>24.207999999999998</v>
      </c>
      <c r="J233" s="24">
        <f t="shared" si="7"/>
        <v>2.2214534478755517</v>
      </c>
      <c r="K233" s="24">
        <f t="shared" si="6"/>
        <v>7.8235083869065747</v>
      </c>
      <c r="L233" s="56">
        <v>4.45</v>
      </c>
      <c r="M233" s="56">
        <v>5.47</v>
      </c>
      <c r="N233" s="1">
        <v>3.3</v>
      </c>
      <c r="O233" s="28">
        <v>2.3290000000000002</v>
      </c>
      <c r="P233" s="60">
        <v>13.5</v>
      </c>
      <c r="Q233" s="1">
        <v>75</v>
      </c>
      <c r="R233" s="60">
        <v>1.2</v>
      </c>
      <c r="S233" s="1">
        <v>85</v>
      </c>
      <c r="T233" s="1">
        <v>53</v>
      </c>
      <c r="U233" s="1">
        <v>36</v>
      </c>
      <c r="V233" s="36">
        <v>5.4</v>
      </c>
    </row>
    <row r="234" spans="1:22" x14ac:dyDescent="0.2">
      <c r="A234" s="1">
        <v>23</v>
      </c>
      <c r="B234" s="1" t="s">
        <v>80</v>
      </c>
      <c r="C234" s="28">
        <v>2.41</v>
      </c>
      <c r="D234" s="1">
        <v>19</v>
      </c>
      <c r="E234" s="1">
        <v>2</v>
      </c>
      <c r="F234" s="1">
        <v>1</v>
      </c>
      <c r="G234" s="11">
        <v>2.6905000000000001</v>
      </c>
      <c r="H234" s="12">
        <v>1.502</v>
      </c>
      <c r="I234" s="13">
        <v>2.6945000000000001</v>
      </c>
      <c r="J234" s="18">
        <f t="shared" si="7"/>
        <v>2.2561844863731655</v>
      </c>
      <c r="K234" s="18">
        <f t="shared" si="6"/>
        <v>6.3823864575450084</v>
      </c>
      <c r="L234" s="56">
        <v>4.45</v>
      </c>
      <c r="M234" s="56">
        <v>5.47</v>
      </c>
      <c r="N234" s="1">
        <v>3.3</v>
      </c>
      <c r="O234" s="28">
        <v>2.3290000000000002</v>
      </c>
      <c r="P234" s="60">
        <v>13.5</v>
      </c>
      <c r="Q234" s="1">
        <v>75</v>
      </c>
      <c r="R234" s="60">
        <v>1.2</v>
      </c>
      <c r="S234" s="1">
        <v>85</v>
      </c>
      <c r="T234" s="1">
        <v>53</v>
      </c>
      <c r="U234" s="1">
        <v>36</v>
      </c>
      <c r="V234" s="36">
        <v>5.4</v>
      </c>
    </row>
    <row r="235" spans="1:22" x14ac:dyDescent="0.2">
      <c r="A235" s="1">
        <v>23</v>
      </c>
      <c r="B235" s="1" t="s">
        <v>80</v>
      </c>
      <c r="C235" s="28">
        <v>2.41</v>
      </c>
      <c r="D235" s="1">
        <v>19</v>
      </c>
      <c r="E235" s="1">
        <v>2</v>
      </c>
      <c r="F235" s="1">
        <v>2</v>
      </c>
      <c r="G235" s="11">
        <v>2.6549999999999998</v>
      </c>
      <c r="H235" s="12">
        <v>1.4810000000000001</v>
      </c>
      <c r="I235" s="13">
        <v>2.6595</v>
      </c>
      <c r="J235" s="18">
        <f t="shared" si="7"/>
        <v>2.2528638099278746</v>
      </c>
      <c r="K235" s="18">
        <f t="shared" si="6"/>
        <v>6.5201738619139249</v>
      </c>
      <c r="L235" s="56">
        <v>4.45</v>
      </c>
      <c r="M235" s="56">
        <v>5.47</v>
      </c>
      <c r="N235" s="1">
        <v>3.3</v>
      </c>
      <c r="O235" s="28">
        <v>2.3290000000000002</v>
      </c>
      <c r="P235" s="60">
        <v>13.5</v>
      </c>
      <c r="Q235" s="1">
        <v>75</v>
      </c>
      <c r="R235" s="60">
        <v>1.2</v>
      </c>
      <c r="S235" s="1">
        <v>85</v>
      </c>
      <c r="T235" s="1">
        <v>53</v>
      </c>
      <c r="U235" s="1">
        <v>36</v>
      </c>
      <c r="V235" s="36">
        <v>5.4</v>
      </c>
    </row>
    <row r="236" spans="1:22" x14ac:dyDescent="0.2">
      <c r="A236" s="1">
        <v>23</v>
      </c>
      <c r="B236" s="1" t="s">
        <v>80</v>
      </c>
      <c r="C236" s="28">
        <v>2.41</v>
      </c>
      <c r="D236" s="1">
        <v>19</v>
      </c>
      <c r="E236" s="1">
        <v>2</v>
      </c>
      <c r="F236" s="1">
        <v>3</v>
      </c>
      <c r="G236" s="11">
        <v>2.67</v>
      </c>
      <c r="H236" s="12">
        <v>1.4955000000000001</v>
      </c>
      <c r="I236" s="13">
        <v>2.6735000000000002</v>
      </c>
      <c r="J236" s="18">
        <f t="shared" si="7"/>
        <v>2.2665534804753817</v>
      </c>
      <c r="K236" s="18">
        <f t="shared" si="6"/>
        <v>5.9521377396107189</v>
      </c>
      <c r="L236" s="56">
        <v>4.45</v>
      </c>
      <c r="M236" s="56">
        <v>5.47</v>
      </c>
      <c r="N236" s="1">
        <v>3.3</v>
      </c>
      <c r="O236" s="28">
        <v>2.3290000000000002</v>
      </c>
      <c r="P236" s="60">
        <v>13.5</v>
      </c>
      <c r="Q236" s="1">
        <v>75</v>
      </c>
      <c r="R236" s="60">
        <v>1.2</v>
      </c>
      <c r="S236" s="1">
        <v>85</v>
      </c>
      <c r="T236" s="1">
        <v>53</v>
      </c>
      <c r="U236" s="1">
        <v>36</v>
      </c>
      <c r="V236" s="36">
        <v>5.4</v>
      </c>
    </row>
    <row r="237" spans="1:22" ht="16" thickBot="1" x14ac:dyDescent="0.25">
      <c r="A237" s="1">
        <v>23</v>
      </c>
      <c r="B237" s="1" t="s">
        <v>80</v>
      </c>
      <c r="C237" s="29">
        <v>2.41</v>
      </c>
      <c r="D237" s="2">
        <v>19</v>
      </c>
      <c r="E237" s="2">
        <v>2</v>
      </c>
      <c r="F237" s="2">
        <v>4</v>
      </c>
      <c r="G237" s="16">
        <v>2.7635000000000001</v>
      </c>
      <c r="H237" s="10">
        <v>1.5425</v>
      </c>
      <c r="I237" s="17">
        <v>2.7694999999999999</v>
      </c>
      <c r="J237" s="20">
        <f t="shared" si="7"/>
        <v>2.2522412387938062</v>
      </c>
      <c r="K237" s="20">
        <f t="shared" si="6"/>
        <v>6.5460066890536854</v>
      </c>
      <c r="L237" s="57">
        <v>4.45</v>
      </c>
      <c r="M237" s="57">
        <v>5.47</v>
      </c>
      <c r="N237" s="2">
        <v>3.3</v>
      </c>
      <c r="O237" s="29">
        <v>2.3290000000000002</v>
      </c>
      <c r="P237" s="61">
        <v>13.5</v>
      </c>
      <c r="Q237" s="2">
        <v>75</v>
      </c>
      <c r="R237" s="61">
        <v>1.2</v>
      </c>
      <c r="S237" s="2">
        <v>85</v>
      </c>
      <c r="T237" s="2">
        <v>53</v>
      </c>
      <c r="U237" s="2">
        <v>36</v>
      </c>
      <c r="V237" s="4">
        <v>5.4</v>
      </c>
    </row>
    <row r="238" spans="1:22" x14ac:dyDescent="0.2">
      <c r="A238" s="1">
        <v>24</v>
      </c>
      <c r="B238" s="1" t="s">
        <v>81</v>
      </c>
      <c r="C238" s="28">
        <v>2.4060000000000001</v>
      </c>
      <c r="D238" s="1">
        <v>19</v>
      </c>
      <c r="E238" s="26">
        <v>1</v>
      </c>
      <c r="F238" s="26">
        <v>0</v>
      </c>
      <c r="G238" s="21">
        <v>24.115500000000001</v>
      </c>
      <c r="H238" s="22">
        <v>13.566000000000001</v>
      </c>
      <c r="I238" s="23">
        <v>24.421500000000002</v>
      </c>
      <c r="J238" s="24">
        <f t="shared" si="7"/>
        <v>2.2215006218046152</v>
      </c>
      <c r="K238" s="24">
        <f t="shared" si="6"/>
        <v>7.668303333141524</v>
      </c>
      <c r="L238" s="56">
        <v>4.47</v>
      </c>
      <c r="M238" s="56">
        <v>5.36</v>
      </c>
      <c r="N238" s="1">
        <v>3.6</v>
      </c>
      <c r="O238" s="28">
        <v>2.3180000000000001</v>
      </c>
      <c r="P238" s="60">
        <v>13.8</v>
      </c>
      <c r="Q238" s="1">
        <v>74</v>
      </c>
      <c r="R238" s="60">
        <v>1.2</v>
      </c>
      <c r="S238" s="1">
        <v>84</v>
      </c>
      <c r="T238" s="1">
        <v>52</v>
      </c>
      <c r="U238" s="1">
        <v>35</v>
      </c>
      <c r="V238" s="36">
        <v>5.2</v>
      </c>
    </row>
    <row r="239" spans="1:22" x14ac:dyDescent="0.2">
      <c r="A239" s="1">
        <v>24</v>
      </c>
      <c r="B239" s="1" t="s">
        <v>81</v>
      </c>
      <c r="C239" s="28">
        <v>2.4060000000000001</v>
      </c>
      <c r="D239" s="1">
        <v>19</v>
      </c>
      <c r="E239" s="1">
        <v>1</v>
      </c>
      <c r="F239" s="1">
        <v>1</v>
      </c>
      <c r="G239" s="11">
        <v>2.6160000000000001</v>
      </c>
      <c r="H239" s="12">
        <v>1.4644999999999999</v>
      </c>
      <c r="I239" s="13">
        <v>2.6375000000000002</v>
      </c>
      <c r="J239" s="18">
        <f t="shared" si="7"/>
        <v>2.2301790281329921</v>
      </c>
      <c r="K239" s="18">
        <f t="shared" si="6"/>
        <v>7.3076048157526223</v>
      </c>
      <c r="L239" s="56">
        <v>4.47</v>
      </c>
      <c r="M239" s="56">
        <v>5.36</v>
      </c>
      <c r="N239" s="1">
        <v>3.6</v>
      </c>
      <c r="O239" s="28">
        <v>2.3180000000000001</v>
      </c>
      <c r="P239" s="60">
        <v>13.8</v>
      </c>
      <c r="Q239" s="1">
        <v>74</v>
      </c>
      <c r="R239" s="60">
        <v>1.2</v>
      </c>
      <c r="S239" s="1">
        <v>84</v>
      </c>
      <c r="T239" s="1">
        <v>52</v>
      </c>
      <c r="U239" s="1">
        <v>35</v>
      </c>
      <c r="V239" s="36">
        <v>5.2</v>
      </c>
    </row>
    <row r="240" spans="1:22" x14ac:dyDescent="0.2">
      <c r="A240" s="1">
        <v>24</v>
      </c>
      <c r="B240" s="1" t="s">
        <v>81</v>
      </c>
      <c r="C240" s="28">
        <v>2.4060000000000001</v>
      </c>
      <c r="D240" s="1">
        <v>19</v>
      </c>
      <c r="E240" s="1">
        <v>1</v>
      </c>
      <c r="F240" s="1">
        <v>2</v>
      </c>
      <c r="G240" s="11">
        <v>2.5459999999999998</v>
      </c>
      <c r="H240" s="12">
        <v>1.417</v>
      </c>
      <c r="I240" s="13">
        <v>2.5575000000000001</v>
      </c>
      <c r="J240" s="18">
        <f t="shared" si="7"/>
        <v>2.2323542306006137</v>
      </c>
      <c r="K240" s="18">
        <f t="shared" si="6"/>
        <v>7.2171973981457356</v>
      </c>
      <c r="L240" s="56">
        <v>4.47</v>
      </c>
      <c r="M240" s="56">
        <v>5.36</v>
      </c>
      <c r="N240" s="1">
        <v>3.6</v>
      </c>
      <c r="O240" s="28">
        <v>2.3180000000000001</v>
      </c>
      <c r="P240" s="60">
        <v>13.8</v>
      </c>
      <c r="Q240" s="1">
        <v>74</v>
      </c>
      <c r="R240" s="60">
        <v>1.2</v>
      </c>
      <c r="S240" s="1">
        <v>84</v>
      </c>
      <c r="T240" s="1">
        <v>52</v>
      </c>
      <c r="U240" s="1">
        <v>35</v>
      </c>
      <c r="V240" s="36">
        <v>5.2</v>
      </c>
    </row>
    <row r="241" spans="1:22" x14ac:dyDescent="0.2">
      <c r="A241" s="1">
        <v>24</v>
      </c>
      <c r="B241" s="1" t="s">
        <v>81</v>
      </c>
      <c r="C241" s="28">
        <v>2.4060000000000001</v>
      </c>
      <c r="D241" s="1">
        <v>19</v>
      </c>
      <c r="E241" s="1">
        <v>1</v>
      </c>
      <c r="F241" s="1">
        <v>3</v>
      </c>
      <c r="G241" s="11">
        <v>2.6884999999999999</v>
      </c>
      <c r="H241" s="12">
        <v>1.504</v>
      </c>
      <c r="I241" s="13">
        <v>2.706</v>
      </c>
      <c r="J241" s="18">
        <f t="shared" si="7"/>
        <v>2.2366888519134775</v>
      </c>
      <c r="K241" s="18">
        <f t="shared" si="6"/>
        <v>7.0370385738371848</v>
      </c>
      <c r="L241" s="56">
        <v>4.47</v>
      </c>
      <c r="M241" s="56">
        <v>5.36</v>
      </c>
      <c r="N241" s="1">
        <v>3.6</v>
      </c>
      <c r="O241" s="28">
        <v>2.3180000000000001</v>
      </c>
      <c r="P241" s="60">
        <v>13.8</v>
      </c>
      <c r="Q241" s="1">
        <v>74</v>
      </c>
      <c r="R241" s="60">
        <v>1.2</v>
      </c>
      <c r="S241" s="1">
        <v>84</v>
      </c>
      <c r="T241" s="1">
        <v>52</v>
      </c>
      <c r="U241" s="1">
        <v>35</v>
      </c>
      <c r="V241" s="36">
        <v>5.2</v>
      </c>
    </row>
    <row r="242" spans="1:22" x14ac:dyDescent="0.2">
      <c r="A242" s="1">
        <v>24</v>
      </c>
      <c r="B242" s="1" t="s">
        <v>81</v>
      </c>
      <c r="C242" s="28">
        <v>2.4060000000000001</v>
      </c>
      <c r="D242" s="1">
        <v>19</v>
      </c>
      <c r="E242" s="5">
        <v>1</v>
      </c>
      <c r="F242" s="5">
        <v>4</v>
      </c>
      <c r="G242" s="14">
        <v>2.6225000000000001</v>
      </c>
      <c r="H242" s="9">
        <v>1.4544999999999999</v>
      </c>
      <c r="I242" s="15">
        <v>2.6339999999999999</v>
      </c>
      <c r="J242" s="19">
        <f t="shared" si="7"/>
        <v>2.2233997456549388</v>
      </c>
      <c r="K242" s="19">
        <f t="shared" si="6"/>
        <v>7.5893705047822664</v>
      </c>
      <c r="L242" s="58">
        <v>4.47</v>
      </c>
      <c r="M242" s="58">
        <v>5.36</v>
      </c>
      <c r="N242" s="5">
        <v>3.6</v>
      </c>
      <c r="O242" s="53">
        <v>2.3180000000000001</v>
      </c>
      <c r="P242" s="62">
        <v>13.8</v>
      </c>
      <c r="Q242" s="5">
        <v>74</v>
      </c>
      <c r="R242" s="62">
        <v>1.2</v>
      </c>
      <c r="S242" s="5">
        <v>84</v>
      </c>
      <c r="T242" s="5">
        <v>52</v>
      </c>
      <c r="U242" s="5">
        <v>35</v>
      </c>
      <c r="V242" s="43">
        <v>5.2</v>
      </c>
    </row>
    <row r="243" spans="1:22" x14ac:dyDescent="0.2">
      <c r="A243" s="1">
        <v>24</v>
      </c>
      <c r="B243" s="1" t="s">
        <v>82</v>
      </c>
      <c r="C243" s="28">
        <v>2.4060000000000001</v>
      </c>
      <c r="D243" s="1">
        <v>19</v>
      </c>
      <c r="E243" s="26">
        <v>2</v>
      </c>
      <c r="F243" s="26">
        <v>0</v>
      </c>
      <c r="G243" s="21">
        <v>24.082000000000001</v>
      </c>
      <c r="H243" s="22">
        <v>13.592000000000001</v>
      </c>
      <c r="I243" s="23">
        <v>24.4255</v>
      </c>
      <c r="J243" s="24">
        <f t="shared" si="7"/>
        <v>2.2229196473900403</v>
      </c>
      <c r="K243" s="24">
        <f t="shared" si="6"/>
        <v>7.6093247136309161</v>
      </c>
      <c r="L243" s="56">
        <v>4.47</v>
      </c>
      <c r="M243" s="56">
        <v>5.36</v>
      </c>
      <c r="N243" s="1">
        <v>3.6</v>
      </c>
      <c r="O243" s="28">
        <v>2.3180000000000001</v>
      </c>
      <c r="P243" s="60">
        <v>13.8</v>
      </c>
      <c r="Q243" s="1">
        <v>74</v>
      </c>
      <c r="R243" s="60">
        <v>1.2</v>
      </c>
      <c r="S243" s="1">
        <v>84</v>
      </c>
      <c r="T243" s="1">
        <v>52</v>
      </c>
      <c r="U243" s="1">
        <v>35</v>
      </c>
      <c r="V243" s="36">
        <v>5.2</v>
      </c>
    </row>
    <row r="244" spans="1:22" x14ac:dyDescent="0.2">
      <c r="A244" s="1">
        <v>24</v>
      </c>
      <c r="B244" s="1" t="s">
        <v>82</v>
      </c>
      <c r="C244" s="28">
        <v>2.4060000000000001</v>
      </c>
      <c r="D244" s="1">
        <v>19</v>
      </c>
      <c r="E244" s="1">
        <v>2</v>
      </c>
      <c r="F244" s="1">
        <v>1</v>
      </c>
      <c r="G244" s="11">
        <v>2.641</v>
      </c>
      <c r="H244" s="12">
        <v>1.4715</v>
      </c>
      <c r="I244" s="13">
        <v>2.66</v>
      </c>
      <c r="J244" s="18">
        <f t="shared" si="7"/>
        <v>2.2221287336979385</v>
      </c>
      <c r="K244" s="18">
        <f t="shared" si="6"/>
        <v>7.6421972694123657</v>
      </c>
      <c r="L244" s="56">
        <v>4.47</v>
      </c>
      <c r="M244" s="56">
        <v>5.36</v>
      </c>
      <c r="N244" s="1">
        <v>3.6</v>
      </c>
      <c r="O244" s="28">
        <v>2.3180000000000001</v>
      </c>
      <c r="P244" s="60">
        <v>13.8</v>
      </c>
      <c r="Q244" s="1">
        <v>74</v>
      </c>
      <c r="R244" s="60">
        <v>1.2</v>
      </c>
      <c r="S244" s="1">
        <v>84</v>
      </c>
      <c r="T244" s="1">
        <v>52</v>
      </c>
      <c r="U244" s="1">
        <v>35</v>
      </c>
      <c r="V244" s="36">
        <v>5.2</v>
      </c>
    </row>
    <row r="245" spans="1:22" x14ac:dyDescent="0.2">
      <c r="A245" s="1">
        <v>24</v>
      </c>
      <c r="B245" s="1" t="s">
        <v>82</v>
      </c>
      <c r="C245" s="28">
        <v>2.4060000000000001</v>
      </c>
      <c r="D245" s="1">
        <v>19</v>
      </c>
      <c r="E245" s="1">
        <v>2</v>
      </c>
      <c r="F245" s="1">
        <v>2</v>
      </c>
      <c r="G245" s="11">
        <v>2.6480000000000001</v>
      </c>
      <c r="H245" s="12">
        <v>1.4775</v>
      </c>
      <c r="I245" s="13">
        <v>2.6619999999999999</v>
      </c>
      <c r="J245" s="18">
        <f t="shared" si="7"/>
        <v>2.2355424229632761</v>
      </c>
      <c r="K245" s="18">
        <f t="shared" si="6"/>
        <v>7.0846873248846194</v>
      </c>
      <c r="L245" s="56">
        <v>4.47</v>
      </c>
      <c r="M245" s="56">
        <v>5.36</v>
      </c>
      <c r="N245" s="1">
        <v>3.6</v>
      </c>
      <c r="O245" s="28">
        <v>2.3180000000000001</v>
      </c>
      <c r="P245" s="60">
        <v>13.8</v>
      </c>
      <c r="Q245" s="1">
        <v>74</v>
      </c>
      <c r="R245" s="60">
        <v>1.2</v>
      </c>
      <c r="S245" s="1">
        <v>84</v>
      </c>
      <c r="T245" s="1">
        <v>52</v>
      </c>
      <c r="U245" s="1">
        <v>35</v>
      </c>
      <c r="V245" s="36">
        <v>5.2</v>
      </c>
    </row>
    <row r="246" spans="1:22" x14ac:dyDescent="0.2">
      <c r="A246" s="1">
        <v>24</v>
      </c>
      <c r="B246" s="1" t="s">
        <v>82</v>
      </c>
      <c r="C246" s="28">
        <v>2.4060000000000001</v>
      </c>
      <c r="D246" s="1">
        <v>19</v>
      </c>
      <c r="E246" s="1">
        <v>2</v>
      </c>
      <c r="F246" s="1">
        <v>3</v>
      </c>
      <c r="G246" s="11">
        <v>2.5495000000000001</v>
      </c>
      <c r="H246" s="12">
        <v>1.4145000000000001</v>
      </c>
      <c r="I246" s="13">
        <v>2.5630000000000002</v>
      </c>
      <c r="J246" s="18">
        <f t="shared" si="7"/>
        <v>2.21985198084458</v>
      </c>
      <c r="K246" s="18">
        <f t="shared" si="6"/>
        <v>7.7368254013059019</v>
      </c>
      <c r="L246" s="56">
        <v>4.47</v>
      </c>
      <c r="M246" s="56">
        <v>5.36</v>
      </c>
      <c r="N246" s="1">
        <v>3.6</v>
      </c>
      <c r="O246" s="28">
        <v>2.3180000000000001</v>
      </c>
      <c r="P246" s="60">
        <v>13.8</v>
      </c>
      <c r="Q246" s="1">
        <v>74</v>
      </c>
      <c r="R246" s="60">
        <v>1.2</v>
      </c>
      <c r="S246" s="1">
        <v>84</v>
      </c>
      <c r="T246" s="1">
        <v>52</v>
      </c>
      <c r="U246" s="1">
        <v>35</v>
      </c>
      <c r="V246" s="36">
        <v>5.2</v>
      </c>
    </row>
    <row r="247" spans="1:22" ht="16" thickBot="1" x14ac:dyDescent="0.25">
      <c r="A247" s="2">
        <v>24</v>
      </c>
      <c r="B247" s="2" t="s">
        <v>82</v>
      </c>
      <c r="C247" s="29">
        <v>2.4060000000000001</v>
      </c>
      <c r="D247" s="2">
        <v>19</v>
      </c>
      <c r="E247" s="2">
        <v>2</v>
      </c>
      <c r="F247" s="2">
        <v>4</v>
      </c>
      <c r="G247" s="16">
        <v>2.5785</v>
      </c>
      <c r="H247" s="10">
        <v>1.4330000000000001</v>
      </c>
      <c r="I247" s="17">
        <v>2.5960000000000001</v>
      </c>
      <c r="J247" s="20">
        <f t="shared" si="7"/>
        <v>2.2171109200343939</v>
      </c>
      <c r="K247" s="20">
        <f t="shared" si="6"/>
        <v>7.8507514532670903</v>
      </c>
      <c r="L247" s="57">
        <v>4.47</v>
      </c>
      <c r="M247" s="57">
        <v>5.36</v>
      </c>
      <c r="N247" s="2">
        <v>3.6</v>
      </c>
      <c r="O247" s="29">
        <v>2.3180000000000001</v>
      </c>
      <c r="P247" s="61">
        <v>13.8</v>
      </c>
      <c r="Q247" s="2">
        <v>74</v>
      </c>
      <c r="R247" s="61">
        <v>1.2</v>
      </c>
      <c r="S247" s="2">
        <v>84</v>
      </c>
      <c r="T247" s="2">
        <v>52</v>
      </c>
      <c r="U247" s="2">
        <v>35</v>
      </c>
      <c r="V247" s="4">
        <v>5.2</v>
      </c>
    </row>
  </sheetData>
  <mergeCells count="4">
    <mergeCell ref="G2:I4"/>
    <mergeCell ref="L3:M3"/>
    <mergeCell ref="A6:K6"/>
    <mergeCell ref="L6:V6"/>
  </mergeCells>
  <conditionalFormatting sqref="K8:K247">
    <cfRule type="cellIs" dxfId="7" priority="1" operator="between">
      <formula>8</formula>
      <formula>99</formula>
    </cfRule>
    <cfRule type="cellIs" dxfId="6" priority="2" operator="lessThan">
      <formula>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16DA-25A9-47AF-8D1A-732F614670A8}">
  <dimension ref="A4:AE245"/>
  <sheetViews>
    <sheetView tabSelected="1" zoomScaleNormal="100" workbookViewId="0">
      <selection activeCell="A4" sqref="A4:AE245"/>
    </sheetView>
  </sheetViews>
  <sheetFormatPr baseColWidth="10" defaultColWidth="11.5" defaultRowHeight="15" x14ac:dyDescent="0.2"/>
  <cols>
    <col min="1" max="2" width="11.5" style="1"/>
    <col min="3" max="3" width="16.1640625" style="28" bestFit="1" customWidth="1"/>
    <col min="4" max="4" width="10.5" style="1" bestFit="1" customWidth="1"/>
    <col min="5" max="5" width="9.5" style="27" bestFit="1" customWidth="1"/>
    <col min="6" max="6" width="7.5" style="27" bestFit="1" customWidth="1"/>
    <col min="7" max="7" width="10.6640625" style="8" hidden="1" customWidth="1"/>
    <col min="8" max="9" width="0" style="8" hidden="1" customWidth="1"/>
    <col min="10" max="10" width="13.6640625" style="8" bestFit="1" customWidth="1"/>
    <col min="11" max="11" width="13.1640625" style="8" bestFit="1" customWidth="1"/>
    <col min="12" max="12" width="19.83203125" style="1" bestFit="1" customWidth="1"/>
    <col min="13" max="13" width="14.33203125" style="1" bestFit="1" customWidth="1"/>
    <col min="14" max="14" width="15.1640625" style="38" customWidth="1"/>
    <col min="15" max="15" width="31" style="44" bestFit="1" customWidth="1"/>
    <col min="16" max="16" width="24.83203125" style="44" bestFit="1" customWidth="1"/>
    <col min="17" max="17" width="29.6640625" style="44" bestFit="1" customWidth="1"/>
    <col min="18" max="18" width="24.33203125" style="44" bestFit="1" customWidth="1"/>
    <col min="19" max="19" width="22.83203125" style="44" bestFit="1" customWidth="1"/>
    <col min="20" max="20" width="21.1640625" style="44" bestFit="1" customWidth="1"/>
    <col min="21" max="21" width="18.5" style="1" bestFit="1" customWidth="1"/>
    <col min="22" max="22" width="21" style="1" bestFit="1" customWidth="1"/>
    <col min="23" max="24" width="12.5" style="1" customWidth="1"/>
    <col min="25" max="25" width="13.5" style="1" customWidth="1"/>
    <col min="26" max="26" width="13.6640625" style="1" customWidth="1"/>
    <col min="27" max="27" width="14.33203125" style="1" customWidth="1"/>
    <col min="28" max="29" width="14.6640625" style="1" customWidth="1"/>
    <col min="30" max="30" width="14.33203125" style="1" customWidth="1"/>
    <col min="31" max="31" width="14.83203125" style="1" bestFit="1" customWidth="1"/>
    <col min="32" max="16384" width="11.5" style="1"/>
  </cols>
  <sheetData>
    <row r="4" spans="1:31" s="84" customFormat="1" ht="24.75" customHeight="1" x14ac:dyDescent="0.2">
      <c r="A4" s="93" t="s">
        <v>85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5" t="s">
        <v>14</v>
      </c>
      <c r="M4" s="96"/>
      <c r="N4" s="96"/>
      <c r="O4" s="96"/>
      <c r="P4" s="96"/>
      <c r="Q4" s="96"/>
      <c r="R4" s="96"/>
      <c r="S4" s="96"/>
      <c r="T4" s="97"/>
      <c r="U4" s="91" t="s">
        <v>25</v>
      </c>
      <c r="V4" s="91"/>
      <c r="W4" s="91"/>
      <c r="X4" s="91"/>
      <c r="Y4" s="91"/>
      <c r="Z4" s="91"/>
      <c r="AA4" s="91"/>
      <c r="AB4" s="91"/>
      <c r="AC4" s="91"/>
      <c r="AD4" s="91"/>
      <c r="AE4" s="92"/>
    </row>
    <row r="5" spans="1:31" ht="18" thickBot="1" x14ac:dyDescent="0.25">
      <c r="A5" s="3" t="s">
        <v>33</v>
      </c>
      <c r="B5" s="3" t="s">
        <v>34</v>
      </c>
      <c r="C5" s="77" t="s">
        <v>20</v>
      </c>
      <c r="D5" s="3" t="s">
        <v>7</v>
      </c>
      <c r="E5" s="3" t="s">
        <v>5</v>
      </c>
      <c r="F5" s="3" t="s">
        <v>6</v>
      </c>
      <c r="G5" s="3" t="s">
        <v>0</v>
      </c>
      <c r="H5" s="3" t="s">
        <v>2</v>
      </c>
      <c r="I5" s="3" t="s">
        <v>3</v>
      </c>
      <c r="J5" s="3" t="s">
        <v>19</v>
      </c>
      <c r="K5" s="37" t="s">
        <v>86</v>
      </c>
      <c r="L5" s="3" t="s">
        <v>10</v>
      </c>
      <c r="M5" s="3" t="s">
        <v>9</v>
      </c>
      <c r="N5" s="3" t="s">
        <v>11</v>
      </c>
      <c r="O5" s="3" t="s">
        <v>13</v>
      </c>
      <c r="P5" s="78" t="s">
        <v>15</v>
      </c>
      <c r="Q5" s="3" t="s">
        <v>31</v>
      </c>
      <c r="R5" s="3" t="s">
        <v>32</v>
      </c>
      <c r="S5" s="80" t="s">
        <v>16</v>
      </c>
      <c r="T5" s="79" t="s">
        <v>12</v>
      </c>
      <c r="U5" s="81" t="s">
        <v>17</v>
      </c>
      <c r="V5" s="77" t="s">
        <v>18</v>
      </c>
      <c r="W5" s="77" t="s">
        <v>28</v>
      </c>
      <c r="X5" s="77" t="s">
        <v>1</v>
      </c>
      <c r="Y5" s="77" t="s">
        <v>29</v>
      </c>
      <c r="Z5" s="77" t="s">
        <v>30</v>
      </c>
      <c r="AA5" s="77" t="s">
        <v>21</v>
      </c>
      <c r="AB5" s="77" t="s">
        <v>27</v>
      </c>
      <c r="AC5" s="77" t="s">
        <v>22</v>
      </c>
      <c r="AD5" s="77" t="s">
        <v>23</v>
      </c>
      <c r="AE5" s="77" t="s">
        <v>24</v>
      </c>
    </row>
    <row r="6" spans="1:31" x14ac:dyDescent="0.2">
      <c r="A6" s="1">
        <v>1</v>
      </c>
      <c r="B6" s="1" t="s">
        <v>35</v>
      </c>
      <c r="C6" s="28">
        <v>2.3820000000000001</v>
      </c>
      <c r="D6" s="1">
        <v>12.5</v>
      </c>
      <c r="E6" s="26">
        <v>1</v>
      </c>
      <c r="F6" s="26">
        <v>0</v>
      </c>
      <c r="G6" s="21">
        <v>24.161999999999999</v>
      </c>
      <c r="H6" s="22">
        <v>13.37</v>
      </c>
      <c r="I6" s="23">
        <v>24.534500000000001</v>
      </c>
      <c r="J6" s="24">
        <f>+IF(G6=0,"",G6/(I6-H6))</f>
        <v>2.1641811097675663</v>
      </c>
      <c r="K6" s="24">
        <f t="shared" ref="K6:K69" si="0">+IF(G6=0,"",(1-(J6/C6))*100)</f>
        <v>9.1443698670207301</v>
      </c>
      <c r="L6" s="33">
        <v>0</v>
      </c>
      <c r="Q6" s="65"/>
      <c r="R6" s="69"/>
      <c r="S6" s="74"/>
      <c r="T6" s="49"/>
      <c r="U6" s="56">
        <v>4.8899999999999997</v>
      </c>
      <c r="V6" s="56">
        <v>5.6</v>
      </c>
      <c r="W6" s="1">
        <v>4.7</v>
      </c>
      <c r="X6" s="28">
        <v>2.2709999999999999</v>
      </c>
      <c r="Y6" s="60">
        <v>15.5</v>
      </c>
      <c r="Z6" s="1">
        <v>70</v>
      </c>
      <c r="AA6" s="60">
        <v>1.2</v>
      </c>
      <c r="AB6" s="1">
        <v>90</v>
      </c>
      <c r="AC6" s="1">
        <v>56</v>
      </c>
      <c r="AD6" s="1">
        <v>39</v>
      </c>
      <c r="AE6" s="36">
        <v>6</v>
      </c>
    </row>
    <row r="7" spans="1:31" x14ac:dyDescent="0.2">
      <c r="A7" s="1">
        <v>1</v>
      </c>
      <c r="B7" s="1" t="s">
        <v>35</v>
      </c>
      <c r="C7" s="28">
        <v>2.3820000000000001</v>
      </c>
      <c r="D7" s="1">
        <v>12.5</v>
      </c>
      <c r="E7" s="1">
        <v>1</v>
      </c>
      <c r="F7" s="1">
        <v>1</v>
      </c>
      <c r="G7" s="11">
        <v>2.6680000000000001</v>
      </c>
      <c r="H7" s="12">
        <v>1.4635</v>
      </c>
      <c r="I7" s="13">
        <v>2.6890000000000001</v>
      </c>
      <c r="J7" s="18">
        <f>+IF(G7=0,"",G7/(I7-H7))</f>
        <v>2.1770705834353326</v>
      </c>
      <c r="K7" s="18">
        <f t="shared" si="0"/>
        <v>8.6032500656871402</v>
      </c>
      <c r="L7" s="33">
        <v>600</v>
      </c>
      <c r="M7" s="1">
        <v>1</v>
      </c>
      <c r="N7" s="38">
        <v>45434</v>
      </c>
      <c r="O7" s="44">
        <v>2647</v>
      </c>
      <c r="P7" s="44">
        <v>4397</v>
      </c>
      <c r="Q7" s="65">
        <v>1.5309999999999999</v>
      </c>
      <c r="R7" s="69">
        <v>1335.7</v>
      </c>
      <c r="S7" s="74">
        <v>1319</v>
      </c>
      <c r="T7" s="49">
        <v>70000</v>
      </c>
      <c r="U7" s="56">
        <v>4.8899999999999997</v>
      </c>
      <c r="V7" s="56">
        <v>5.6</v>
      </c>
      <c r="W7" s="1">
        <v>4.7</v>
      </c>
      <c r="X7" s="28">
        <v>2.2709999999999999</v>
      </c>
      <c r="Y7" s="60">
        <v>15.5</v>
      </c>
      <c r="Z7" s="1">
        <v>70</v>
      </c>
      <c r="AA7" s="60">
        <v>1.2</v>
      </c>
      <c r="AB7" s="1">
        <v>90</v>
      </c>
      <c r="AC7" s="1">
        <v>56</v>
      </c>
      <c r="AD7" s="1">
        <v>39</v>
      </c>
      <c r="AE7" s="36">
        <v>6</v>
      </c>
    </row>
    <row r="8" spans="1:31" x14ac:dyDescent="0.2">
      <c r="A8" s="1">
        <v>1</v>
      </c>
      <c r="B8" s="1" t="s">
        <v>35</v>
      </c>
      <c r="C8" s="28">
        <v>2.3820000000000001</v>
      </c>
      <c r="D8" s="1">
        <v>12.5</v>
      </c>
      <c r="E8" s="1">
        <v>1</v>
      </c>
      <c r="F8" s="1">
        <v>2</v>
      </c>
      <c r="G8" s="11">
        <v>2.7705000000000002</v>
      </c>
      <c r="H8" s="12">
        <v>1.5435000000000001</v>
      </c>
      <c r="I8" s="13">
        <v>2.8050000000000002</v>
      </c>
      <c r="J8" s="18">
        <f t="shared" ref="J8:J71" si="1">+IF(G8=0,"",G8/(I8-H8))</f>
        <v>2.1961950059453033</v>
      </c>
      <c r="K8" s="18">
        <f t="shared" si="0"/>
        <v>7.8003775841602341</v>
      </c>
      <c r="L8" s="33">
        <v>600</v>
      </c>
      <c r="M8" s="1">
        <v>2</v>
      </c>
      <c r="N8" s="38">
        <v>45434</v>
      </c>
      <c r="O8" s="44">
        <v>2935</v>
      </c>
      <c r="P8" s="44">
        <v>4887</v>
      </c>
      <c r="Q8" s="65">
        <v>1.5669999999999999</v>
      </c>
      <c r="R8" s="69">
        <v>1500.9</v>
      </c>
      <c r="S8" s="74">
        <v>1464</v>
      </c>
      <c r="T8" s="49">
        <v>23620</v>
      </c>
      <c r="U8" s="56">
        <v>4.8899999999999997</v>
      </c>
      <c r="V8" s="56">
        <v>5.6</v>
      </c>
      <c r="W8" s="1">
        <v>4.7</v>
      </c>
      <c r="X8" s="28">
        <v>2.2709999999999999</v>
      </c>
      <c r="Y8" s="60">
        <v>15.5</v>
      </c>
      <c r="Z8" s="1">
        <v>70</v>
      </c>
      <c r="AA8" s="60">
        <v>1.2</v>
      </c>
      <c r="AB8" s="1">
        <v>90</v>
      </c>
      <c r="AC8" s="1">
        <v>56</v>
      </c>
      <c r="AD8" s="1">
        <v>39</v>
      </c>
      <c r="AE8" s="36">
        <v>6</v>
      </c>
    </row>
    <row r="9" spans="1:31" x14ac:dyDescent="0.2">
      <c r="A9" s="1">
        <v>1</v>
      </c>
      <c r="B9" s="1" t="s">
        <v>35</v>
      </c>
      <c r="C9" s="28">
        <v>2.3820000000000001</v>
      </c>
      <c r="D9" s="1">
        <v>12.5</v>
      </c>
      <c r="E9" s="1">
        <v>1</v>
      </c>
      <c r="F9" s="1">
        <v>3</v>
      </c>
      <c r="G9" s="11">
        <v>2.6949999999999998</v>
      </c>
      <c r="H9" s="12">
        <v>1.4744999999999999</v>
      </c>
      <c r="I9" s="13">
        <v>2.7189999999999999</v>
      </c>
      <c r="J9" s="18">
        <f t="shared" si="1"/>
        <v>2.1655283246283648</v>
      </c>
      <c r="K9" s="18">
        <f t="shared" si="0"/>
        <v>9.0878117284481696</v>
      </c>
      <c r="L9" s="33">
        <v>600</v>
      </c>
      <c r="M9" s="1">
        <v>3</v>
      </c>
      <c r="N9" s="38">
        <v>45434</v>
      </c>
      <c r="O9" s="44">
        <v>2963</v>
      </c>
      <c r="P9" s="44">
        <v>4926</v>
      </c>
      <c r="Q9" s="65">
        <v>1.494</v>
      </c>
      <c r="R9" s="69">
        <v>1478.8</v>
      </c>
      <c r="S9" s="74">
        <v>1477</v>
      </c>
      <c r="T9" s="49">
        <v>97500</v>
      </c>
      <c r="U9" s="56">
        <v>4.8899999999999997</v>
      </c>
      <c r="V9" s="56">
        <v>5.6</v>
      </c>
      <c r="W9" s="1">
        <v>4.7</v>
      </c>
      <c r="X9" s="28">
        <v>2.2709999999999999</v>
      </c>
      <c r="Y9" s="60">
        <v>15.5</v>
      </c>
      <c r="Z9" s="1">
        <v>70</v>
      </c>
      <c r="AA9" s="60">
        <v>1.2</v>
      </c>
      <c r="AB9" s="1">
        <v>90</v>
      </c>
      <c r="AC9" s="1">
        <v>56</v>
      </c>
      <c r="AD9" s="1">
        <v>39</v>
      </c>
      <c r="AE9" s="36">
        <v>6</v>
      </c>
    </row>
    <row r="10" spans="1:31" x14ac:dyDescent="0.2">
      <c r="A10" s="1">
        <v>1</v>
      </c>
      <c r="B10" s="1" t="s">
        <v>35</v>
      </c>
      <c r="C10" s="28">
        <v>2.3820000000000001</v>
      </c>
      <c r="D10" s="1">
        <v>12.5</v>
      </c>
      <c r="E10" s="5">
        <v>1</v>
      </c>
      <c r="F10" s="5">
        <v>4</v>
      </c>
      <c r="G10" s="14">
        <v>2.7149999999999999</v>
      </c>
      <c r="H10" s="9">
        <v>1.5049999999999999</v>
      </c>
      <c r="I10" s="15">
        <v>2.7494999999999998</v>
      </c>
      <c r="J10" s="19">
        <f t="shared" si="1"/>
        <v>2.1815990357573321</v>
      </c>
      <c r="K10" s="19">
        <f t="shared" si="0"/>
        <v>8.4131387171565102</v>
      </c>
      <c r="L10" s="41">
        <v>600</v>
      </c>
      <c r="M10" s="5">
        <v>4</v>
      </c>
      <c r="N10" s="42">
        <v>45434</v>
      </c>
      <c r="O10" s="47">
        <v>3110</v>
      </c>
      <c r="P10" s="47">
        <v>5178</v>
      </c>
      <c r="Q10" s="67">
        <v>1.5529999999999999</v>
      </c>
      <c r="R10" s="71">
        <v>1552.7</v>
      </c>
      <c r="S10" s="75">
        <v>1552</v>
      </c>
      <c r="T10" s="51">
        <v>158670</v>
      </c>
      <c r="U10" s="58">
        <v>4.8899999999999997</v>
      </c>
      <c r="V10" s="58">
        <v>5.6</v>
      </c>
      <c r="W10" s="5">
        <v>4.7</v>
      </c>
      <c r="X10" s="53">
        <v>2.2709999999999999</v>
      </c>
      <c r="Y10" s="62">
        <v>15.5</v>
      </c>
      <c r="Z10" s="5">
        <v>70</v>
      </c>
      <c r="AA10" s="62">
        <v>1.2</v>
      </c>
      <c r="AB10" s="5">
        <v>90</v>
      </c>
      <c r="AC10" s="5">
        <v>56</v>
      </c>
      <c r="AD10" s="5">
        <v>39</v>
      </c>
      <c r="AE10" s="43">
        <v>6</v>
      </c>
    </row>
    <row r="11" spans="1:31" x14ac:dyDescent="0.2">
      <c r="A11" s="1">
        <v>1</v>
      </c>
      <c r="B11" s="1" t="s">
        <v>36</v>
      </c>
      <c r="C11" s="28">
        <v>2.3820000000000001</v>
      </c>
      <c r="D11" s="1">
        <v>12.5</v>
      </c>
      <c r="E11" s="26">
        <v>2</v>
      </c>
      <c r="F11" s="26">
        <v>0</v>
      </c>
      <c r="G11" s="21">
        <v>24.103000000000002</v>
      </c>
      <c r="H11" s="22">
        <v>13.3515</v>
      </c>
      <c r="I11" s="23">
        <v>24.518999999999998</v>
      </c>
      <c r="J11" s="24">
        <f t="shared" si="1"/>
        <v>2.158316543541527</v>
      </c>
      <c r="K11" s="24">
        <f t="shared" si="0"/>
        <v>9.3905733189955107</v>
      </c>
      <c r="L11" s="33">
        <v>0</v>
      </c>
      <c r="Q11" s="65"/>
      <c r="R11" s="69"/>
      <c r="S11" s="74"/>
      <c r="T11" s="49"/>
      <c r="U11" s="56">
        <v>4.8899999999999997</v>
      </c>
      <c r="V11" s="56">
        <v>5.6</v>
      </c>
      <c r="W11" s="1">
        <v>4.7</v>
      </c>
      <c r="X11" s="28">
        <v>2.2709999999999999</v>
      </c>
      <c r="Y11" s="60">
        <v>15.5</v>
      </c>
      <c r="Z11" s="1">
        <v>70</v>
      </c>
      <c r="AA11" s="60">
        <v>1.2</v>
      </c>
      <c r="AB11" s="1">
        <v>90</v>
      </c>
      <c r="AC11" s="1">
        <v>56</v>
      </c>
      <c r="AD11" s="1">
        <v>39</v>
      </c>
      <c r="AE11" s="36">
        <v>6</v>
      </c>
    </row>
    <row r="12" spans="1:31" x14ac:dyDescent="0.2">
      <c r="A12" s="1">
        <v>1</v>
      </c>
      <c r="B12" s="1" t="s">
        <v>36</v>
      </c>
      <c r="C12" s="28">
        <v>2.3820000000000001</v>
      </c>
      <c r="D12" s="1">
        <v>12.5</v>
      </c>
      <c r="E12" s="1">
        <v>2</v>
      </c>
      <c r="F12" s="1">
        <v>1</v>
      </c>
      <c r="G12" s="11">
        <v>2.597</v>
      </c>
      <c r="H12" s="12">
        <v>1.4219999999999999</v>
      </c>
      <c r="I12" s="13">
        <v>2.6154999999999999</v>
      </c>
      <c r="J12" s="18">
        <f t="shared" si="1"/>
        <v>2.1759530791788855</v>
      </c>
      <c r="K12" s="18">
        <f t="shared" si="0"/>
        <v>8.6501646020619045</v>
      </c>
      <c r="L12" s="33">
        <v>400</v>
      </c>
      <c r="M12" s="1">
        <v>1</v>
      </c>
      <c r="N12" s="38">
        <v>45435</v>
      </c>
      <c r="O12" s="44">
        <v>2222</v>
      </c>
      <c r="P12" s="44">
        <v>5581</v>
      </c>
      <c r="Q12" s="65">
        <v>0.67</v>
      </c>
      <c r="R12" s="69">
        <v>1067.5999999999999</v>
      </c>
      <c r="S12" s="74">
        <v>1832</v>
      </c>
      <c r="T12" s="49">
        <v>850000</v>
      </c>
      <c r="U12" s="56">
        <v>4.8899999999999997</v>
      </c>
      <c r="V12" s="56">
        <v>5.6</v>
      </c>
      <c r="W12" s="1">
        <v>4.7</v>
      </c>
      <c r="X12" s="28">
        <v>2.2709999999999999</v>
      </c>
      <c r="Y12" s="60">
        <v>15.5</v>
      </c>
      <c r="Z12" s="1">
        <v>70</v>
      </c>
      <c r="AA12" s="60">
        <v>1.2</v>
      </c>
      <c r="AB12" s="1">
        <v>90</v>
      </c>
      <c r="AC12" s="1">
        <v>56</v>
      </c>
      <c r="AD12" s="1">
        <v>39</v>
      </c>
      <c r="AE12" s="36">
        <v>6</v>
      </c>
    </row>
    <row r="13" spans="1:31" x14ac:dyDescent="0.2">
      <c r="A13" s="1">
        <v>1</v>
      </c>
      <c r="B13" s="1" t="s">
        <v>36</v>
      </c>
      <c r="C13" s="28">
        <v>2.3820000000000001</v>
      </c>
      <c r="D13" s="1">
        <v>12.5</v>
      </c>
      <c r="E13" s="1">
        <v>2</v>
      </c>
      <c r="F13" s="1">
        <v>2</v>
      </c>
      <c r="G13" s="11">
        <v>2.5665</v>
      </c>
      <c r="H13" s="12">
        <v>1.4245000000000001</v>
      </c>
      <c r="I13" s="13">
        <v>2.6</v>
      </c>
      <c r="J13" s="18">
        <f t="shared" si="1"/>
        <v>2.183326244151425</v>
      </c>
      <c r="K13" s="18">
        <f t="shared" si="0"/>
        <v>8.3406278693776255</v>
      </c>
      <c r="L13" s="33">
        <v>400</v>
      </c>
      <c r="M13" s="1">
        <v>2</v>
      </c>
      <c r="N13" s="38">
        <v>45436</v>
      </c>
      <c r="O13" s="44">
        <v>2251</v>
      </c>
      <c r="P13" s="44">
        <v>5623</v>
      </c>
      <c r="Q13" s="65">
        <v>0.61299999999999999</v>
      </c>
      <c r="R13" s="69">
        <v>1079.5999999999999</v>
      </c>
      <c r="S13" s="74">
        <v>1686</v>
      </c>
      <c r="T13" s="49">
        <f>212500+12500/3</f>
        <v>216666.66666666666</v>
      </c>
      <c r="U13" s="56">
        <v>4.8899999999999997</v>
      </c>
      <c r="V13" s="56">
        <v>5.6</v>
      </c>
      <c r="W13" s="1">
        <v>4.7</v>
      </c>
      <c r="X13" s="28">
        <v>2.2709999999999999</v>
      </c>
      <c r="Y13" s="60">
        <v>15.5</v>
      </c>
      <c r="Z13" s="1">
        <v>70</v>
      </c>
      <c r="AA13" s="60">
        <v>1.2</v>
      </c>
      <c r="AB13" s="1">
        <v>90</v>
      </c>
      <c r="AC13" s="1">
        <v>56</v>
      </c>
      <c r="AD13" s="1">
        <v>39</v>
      </c>
      <c r="AE13" s="36">
        <v>6</v>
      </c>
    </row>
    <row r="14" spans="1:31" x14ac:dyDescent="0.2">
      <c r="A14" s="1">
        <v>1</v>
      </c>
      <c r="B14" s="1" t="s">
        <v>36</v>
      </c>
      <c r="C14" s="28">
        <v>2.3820000000000001</v>
      </c>
      <c r="D14" s="1">
        <v>12.5</v>
      </c>
      <c r="E14" s="1">
        <v>2</v>
      </c>
      <c r="F14" s="1">
        <v>3</v>
      </c>
      <c r="G14" s="11">
        <v>2.5870000000000002</v>
      </c>
      <c r="H14" s="12">
        <v>1.417</v>
      </c>
      <c r="I14" s="13">
        <v>2.609</v>
      </c>
      <c r="J14" s="18">
        <f t="shared" si="1"/>
        <v>2.1703020134228193</v>
      </c>
      <c r="K14" s="18">
        <f t="shared" si="0"/>
        <v>8.8874049780512507</v>
      </c>
      <c r="L14" s="33">
        <v>400</v>
      </c>
      <c r="M14" s="1">
        <v>3</v>
      </c>
      <c r="N14" s="38">
        <v>45437</v>
      </c>
      <c r="O14" s="44">
        <v>2028</v>
      </c>
      <c r="P14" s="44">
        <v>5067</v>
      </c>
      <c r="Q14" s="65">
        <v>0.59</v>
      </c>
      <c r="R14" s="69">
        <v>998.5</v>
      </c>
      <c r="S14" s="74">
        <v>1519</v>
      </c>
      <c r="T14" s="49">
        <v>725000</v>
      </c>
      <c r="U14" s="56">
        <v>4.8899999999999997</v>
      </c>
      <c r="V14" s="56">
        <v>5.6</v>
      </c>
      <c r="W14" s="1">
        <v>4.7</v>
      </c>
      <c r="X14" s="28">
        <v>2.2709999999999999</v>
      </c>
      <c r="Y14" s="60">
        <v>15.5</v>
      </c>
      <c r="Z14" s="1">
        <v>70</v>
      </c>
      <c r="AA14" s="60">
        <v>1.2</v>
      </c>
      <c r="AB14" s="1">
        <v>90</v>
      </c>
      <c r="AC14" s="1">
        <v>56</v>
      </c>
      <c r="AD14" s="1">
        <v>39</v>
      </c>
      <c r="AE14" s="36">
        <v>6</v>
      </c>
    </row>
    <row r="15" spans="1:31" ht="16" thickBot="1" x14ac:dyDescent="0.25">
      <c r="A15" s="1">
        <v>1</v>
      </c>
      <c r="B15" s="1" t="s">
        <v>36</v>
      </c>
      <c r="C15" s="29">
        <v>2.3820000000000001</v>
      </c>
      <c r="D15" s="2">
        <v>12.5</v>
      </c>
      <c r="E15" s="2">
        <v>2</v>
      </c>
      <c r="F15" s="2">
        <v>4</v>
      </c>
      <c r="G15" s="16">
        <v>2.6349999999999998</v>
      </c>
      <c r="H15" s="10">
        <v>1.468</v>
      </c>
      <c r="I15" s="17">
        <v>2.6795</v>
      </c>
      <c r="J15" s="20">
        <f t="shared" si="1"/>
        <v>2.1749896822121335</v>
      </c>
      <c r="K15" s="20">
        <f t="shared" si="0"/>
        <v>8.6906094789196757</v>
      </c>
      <c r="L15" s="34">
        <v>400</v>
      </c>
      <c r="M15" s="2">
        <v>4</v>
      </c>
      <c r="N15" s="39">
        <v>45438</v>
      </c>
      <c r="O15" s="46">
        <v>2418</v>
      </c>
      <c r="P15" s="46">
        <v>6042</v>
      </c>
      <c r="Q15" s="66">
        <v>0.64800000000000002</v>
      </c>
      <c r="R15" s="70">
        <v>1178</v>
      </c>
      <c r="S15" s="76">
        <v>1808</v>
      </c>
      <c r="T15" s="50">
        <v>550000</v>
      </c>
      <c r="U15" s="57">
        <v>4.8899999999999997</v>
      </c>
      <c r="V15" s="57">
        <v>5.6</v>
      </c>
      <c r="W15" s="2">
        <v>4.7</v>
      </c>
      <c r="X15" s="29">
        <v>2.2709999999999999</v>
      </c>
      <c r="Y15" s="61">
        <v>15.5</v>
      </c>
      <c r="Z15" s="2">
        <v>70</v>
      </c>
      <c r="AA15" s="61">
        <v>1.2</v>
      </c>
      <c r="AB15" s="2">
        <v>90</v>
      </c>
      <c r="AC15" s="2">
        <v>56</v>
      </c>
      <c r="AD15" s="2">
        <v>39</v>
      </c>
      <c r="AE15" s="4">
        <v>6</v>
      </c>
    </row>
    <row r="16" spans="1:31" x14ac:dyDescent="0.2">
      <c r="A16" s="1">
        <v>2</v>
      </c>
      <c r="B16" s="1" t="s">
        <v>37</v>
      </c>
      <c r="C16" s="28">
        <v>2.3969999999999998</v>
      </c>
      <c r="D16" s="1">
        <v>19</v>
      </c>
      <c r="E16" s="26">
        <v>1</v>
      </c>
      <c r="F16" s="26">
        <v>0</v>
      </c>
      <c r="G16" s="21">
        <v>22.401</v>
      </c>
      <c r="H16" s="22">
        <v>12.295</v>
      </c>
      <c r="I16" s="23">
        <v>22.889500000000002</v>
      </c>
      <c r="J16" s="24">
        <f t="shared" si="1"/>
        <v>2.1143989806031427</v>
      </c>
      <c r="K16" s="24">
        <f t="shared" si="0"/>
        <v>11.789779699493419</v>
      </c>
      <c r="L16" s="33">
        <v>0</v>
      </c>
      <c r="Q16" s="65"/>
      <c r="R16" s="69"/>
      <c r="S16" s="74"/>
      <c r="T16" s="49"/>
      <c r="U16" s="56">
        <v>4.6399999999999997</v>
      </c>
      <c r="V16" s="56">
        <v>5.6</v>
      </c>
      <c r="W16" s="1">
        <v>4.9000000000000004</v>
      </c>
      <c r="X16" s="28">
        <v>2.2799999999999998</v>
      </c>
      <c r="Y16" s="60">
        <v>15.2</v>
      </c>
      <c r="Z16" s="1">
        <v>68</v>
      </c>
      <c r="AA16" s="60">
        <v>1.1000000000000001</v>
      </c>
      <c r="AB16" s="1">
        <v>87</v>
      </c>
      <c r="AC16" s="1">
        <v>53</v>
      </c>
      <c r="AD16" s="1">
        <v>37</v>
      </c>
      <c r="AE16" s="36">
        <v>5</v>
      </c>
    </row>
    <row r="17" spans="1:31" x14ac:dyDescent="0.2">
      <c r="A17" s="1">
        <v>2</v>
      </c>
      <c r="B17" s="1" t="s">
        <v>37</v>
      </c>
      <c r="C17" s="28">
        <v>2.3969999999999998</v>
      </c>
      <c r="D17" s="1">
        <v>19</v>
      </c>
      <c r="E17" s="1">
        <v>1</v>
      </c>
      <c r="F17" s="1">
        <v>1</v>
      </c>
      <c r="G17" s="11">
        <v>2.6175000000000002</v>
      </c>
      <c r="H17" s="12">
        <v>1.45</v>
      </c>
      <c r="I17" s="13">
        <v>2.6720000000000002</v>
      </c>
      <c r="J17" s="18">
        <f t="shared" si="1"/>
        <v>2.1419803600654661</v>
      </c>
      <c r="K17" s="18">
        <f t="shared" si="0"/>
        <v>10.639117227139494</v>
      </c>
      <c r="L17" s="33">
        <v>600</v>
      </c>
      <c r="M17" s="1">
        <v>1</v>
      </c>
      <c r="N17" s="38">
        <v>45429</v>
      </c>
      <c r="O17" s="44">
        <v>2325</v>
      </c>
      <c r="P17" s="44">
        <v>3863</v>
      </c>
      <c r="Q17" s="65">
        <v>1.3460000000000001</v>
      </c>
      <c r="R17" s="69">
        <v>1172.0999999999999</v>
      </c>
      <c r="S17" s="74">
        <v>1150</v>
      </c>
      <c r="T17" s="49">
        <v>85000</v>
      </c>
      <c r="U17" s="56">
        <v>4.6399999999999997</v>
      </c>
      <c r="V17" s="56">
        <v>5.6</v>
      </c>
      <c r="W17" s="1">
        <v>4.9000000000000004</v>
      </c>
      <c r="X17" s="28">
        <v>2.2799999999999998</v>
      </c>
      <c r="Y17" s="60">
        <v>15.2</v>
      </c>
      <c r="Z17" s="1">
        <v>68</v>
      </c>
      <c r="AA17" s="60">
        <v>1.1000000000000001</v>
      </c>
      <c r="AB17" s="1">
        <v>87</v>
      </c>
      <c r="AC17" s="1">
        <v>53</v>
      </c>
      <c r="AD17" s="1">
        <v>37</v>
      </c>
      <c r="AE17" s="36">
        <v>5</v>
      </c>
    </row>
    <row r="18" spans="1:31" x14ac:dyDescent="0.2">
      <c r="A18" s="1">
        <v>2</v>
      </c>
      <c r="B18" s="1" t="s">
        <v>37</v>
      </c>
      <c r="C18" s="28">
        <v>2.3969999999999998</v>
      </c>
      <c r="D18" s="1">
        <v>19</v>
      </c>
      <c r="E18" s="1">
        <v>1</v>
      </c>
      <c r="F18" s="1">
        <v>2</v>
      </c>
      <c r="G18" s="11">
        <v>2.5779999999999998</v>
      </c>
      <c r="H18" s="12">
        <v>1.42</v>
      </c>
      <c r="I18" s="13">
        <v>2.6459999999999999</v>
      </c>
      <c r="J18" s="18">
        <f t="shared" si="1"/>
        <v>2.102773246329527</v>
      </c>
      <c r="K18" s="18">
        <f t="shared" si="0"/>
        <v>12.274791559051845</v>
      </c>
      <c r="L18" s="33">
        <v>600</v>
      </c>
      <c r="M18" s="1">
        <v>2</v>
      </c>
      <c r="N18" s="38">
        <v>45429</v>
      </c>
      <c r="O18" s="44">
        <v>2202</v>
      </c>
      <c r="P18" s="44">
        <v>3664</v>
      </c>
      <c r="Q18" s="65">
        <v>1.157</v>
      </c>
      <c r="R18" s="69">
        <v>1112.5</v>
      </c>
      <c r="S18" s="74">
        <v>1099</v>
      </c>
      <c r="T18" s="49">
        <v>60260</v>
      </c>
      <c r="U18" s="56">
        <v>4.6399999999999997</v>
      </c>
      <c r="V18" s="56">
        <v>5.6</v>
      </c>
      <c r="W18" s="1">
        <v>4.9000000000000004</v>
      </c>
      <c r="X18" s="28">
        <v>2.2799999999999998</v>
      </c>
      <c r="Y18" s="60">
        <v>15.2</v>
      </c>
      <c r="Z18" s="1">
        <v>68</v>
      </c>
      <c r="AA18" s="60">
        <v>1.1000000000000001</v>
      </c>
      <c r="AB18" s="1">
        <v>87</v>
      </c>
      <c r="AC18" s="1">
        <v>53</v>
      </c>
      <c r="AD18" s="1">
        <v>37</v>
      </c>
      <c r="AE18" s="36">
        <v>5</v>
      </c>
    </row>
    <row r="19" spans="1:31" x14ac:dyDescent="0.2">
      <c r="A19" s="1">
        <v>2</v>
      </c>
      <c r="B19" s="1" t="s">
        <v>37</v>
      </c>
      <c r="C19" s="28">
        <v>2.3969999999999998</v>
      </c>
      <c r="D19" s="1">
        <v>19</v>
      </c>
      <c r="E19" s="1">
        <v>1</v>
      </c>
      <c r="F19" s="1">
        <v>3</v>
      </c>
      <c r="G19" s="11">
        <v>2.5390000000000001</v>
      </c>
      <c r="H19" s="12">
        <v>1.3794999999999999</v>
      </c>
      <c r="I19" s="13">
        <v>2.5819999999999999</v>
      </c>
      <c r="J19" s="18">
        <f t="shared" si="1"/>
        <v>2.1114345114345117</v>
      </c>
      <c r="K19" s="18">
        <f t="shared" si="0"/>
        <v>11.913453840863086</v>
      </c>
      <c r="L19" s="33">
        <v>600</v>
      </c>
      <c r="M19" s="1">
        <v>3</v>
      </c>
      <c r="N19" s="38">
        <v>45429</v>
      </c>
      <c r="O19" s="44">
        <v>1813</v>
      </c>
      <c r="P19" s="44">
        <v>3020</v>
      </c>
      <c r="Q19" s="65">
        <v>0.81499999999999995</v>
      </c>
      <c r="R19" s="69">
        <v>913.5</v>
      </c>
      <c r="S19" s="74">
        <v>906</v>
      </c>
      <c r="T19" s="49">
        <v>4625</v>
      </c>
      <c r="U19" s="56">
        <v>4.6399999999999997</v>
      </c>
      <c r="V19" s="56">
        <v>5.6</v>
      </c>
      <c r="W19" s="1">
        <v>4.9000000000000004</v>
      </c>
      <c r="X19" s="28">
        <v>2.2799999999999998</v>
      </c>
      <c r="Y19" s="60">
        <v>15.2</v>
      </c>
      <c r="Z19" s="1">
        <v>68</v>
      </c>
      <c r="AA19" s="60">
        <v>1.1000000000000001</v>
      </c>
      <c r="AB19" s="1">
        <v>87</v>
      </c>
      <c r="AC19" s="1">
        <v>53</v>
      </c>
      <c r="AD19" s="1">
        <v>37</v>
      </c>
      <c r="AE19" s="36">
        <v>5</v>
      </c>
    </row>
    <row r="20" spans="1:31" x14ac:dyDescent="0.2">
      <c r="A20" s="1">
        <v>2</v>
      </c>
      <c r="B20" s="1" t="s">
        <v>37</v>
      </c>
      <c r="C20" s="28">
        <v>2.3969999999999998</v>
      </c>
      <c r="D20" s="1">
        <v>19</v>
      </c>
      <c r="E20" s="5">
        <v>1</v>
      </c>
      <c r="F20" s="5">
        <v>4</v>
      </c>
      <c r="G20" s="14">
        <v>2.5270000000000001</v>
      </c>
      <c r="H20" s="9">
        <v>1.363</v>
      </c>
      <c r="I20" s="15">
        <v>2.5659999999999998</v>
      </c>
      <c r="J20" s="19">
        <f t="shared" si="1"/>
        <v>2.1005818786367421</v>
      </c>
      <c r="K20" s="19">
        <f t="shared" si="0"/>
        <v>12.366212822830946</v>
      </c>
      <c r="L20" s="41">
        <v>600</v>
      </c>
      <c r="M20" s="5">
        <v>4</v>
      </c>
      <c r="N20" s="42">
        <v>45429</v>
      </c>
      <c r="O20" s="47">
        <v>1888</v>
      </c>
      <c r="P20" s="47">
        <v>3146</v>
      </c>
      <c r="Q20" s="67">
        <v>0.91100000000000003</v>
      </c>
      <c r="R20" s="71">
        <v>945.5</v>
      </c>
      <c r="S20" s="75">
        <v>933</v>
      </c>
      <c r="T20" s="51">
        <v>14100</v>
      </c>
      <c r="U20" s="58">
        <v>4.6399999999999997</v>
      </c>
      <c r="V20" s="58">
        <v>5.6</v>
      </c>
      <c r="W20" s="5">
        <v>4.9000000000000004</v>
      </c>
      <c r="X20" s="53">
        <v>2.2799999999999998</v>
      </c>
      <c r="Y20" s="62">
        <v>15.2</v>
      </c>
      <c r="Z20" s="5">
        <v>68</v>
      </c>
      <c r="AA20" s="62">
        <v>1.1000000000000001</v>
      </c>
      <c r="AB20" s="5">
        <v>87</v>
      </c>
      <c r="AC20" s="5">
        <v>53</v>
      </c>
      <c r="AD20" s="5">
        <v>37</v>
      </c>
      <c r="AE20" s="43">
        <v>5</v>
      </c>
    </row>
    <row r="21" spans="1:31" x14ac:dyDescent="0.2">
      <c r="A21" s="1">
        <v>2</v>
      </c>
      <c r="B21" s="1" t="s">
        <v>38</v>
      </c>
      <c r="C21" s="28">
        <v>2.3969999999999998</v>
      </c>
      <c r="D21" s="1">
        <v>19</v>
      </c>
      <c r="E21" s="26">
        <v>2</v>
      </c>
      <c r="F21" s="26">
        <v>0</v>
      </c>
      <c r="G21" s="21">
        <v>24.121500000000001</v>
      </c>
      <c r="H21" s="22">
        <v>13.327</v>
      </c>
      <c r="I21" s="23">
        <v>24.408000000000001</v>
      </c>
      <c r="J21" s="24">
        <f t="shared" si="1"/>
        <v>2.1768342207382005</v>
      </c>
      <c r="K21" s="24">
        <f t="shared" si="0"/>
        <v>9.1850554552273422</v>
      </c>
      <c r="L21" s="33">
        <v>0</v>
      </c>
      <c r="Q21" s="65"/>
      <c r="R21" s="69"/>
      <c r="S21" s="74"/>
      <c r="T21" s="49"/>
      <c r="U21" s="56">
        <v>4.6399999999999997</v>
      </c>
      <c r="V21" s="56">
        <v>5.6</v>
      </c>
      <c r="W21" s="1">
        <v>4.9000000000000004</v>
      </c>
      <c r="X21" s="28">
        <v>2.2799999999999998</v>
      </c>
      <c r="Y21" s="60">
        <v>15.2</v>
      </c>
      <c r="Z21" s="1">
        <v>68</v>
      </c>
      <c r="AA21" s="60">
        <v>1.1000000000000001</v>
      </c>
      <c r="AB21" s="1">
        <v>87</v>
      </c>
      <c r="AC21" s="1">
        <v>53</v>
      </c>
      <c r="AD21" s="1">
        <v>37</v>
      </c>
      <c r="AE21" s="36">
        <v>5</v>
      </c>
    </row>
    <row r="22" spans="1:31" x14ac:dyDescent="0.2">
      <c r="A22" s="1">
        <v>2</v>
      </c>
      <c r="B22" s="1" t="s">
        <v>38</v>
      </c>
      <c r="C22" s="28">
        <v>2.3969999999999998</v>
      </c>
      <c r="D22" s="1">
        <v>19</v>
      </c>
      <c r="E22" s="1">
        <v>2</v>
      </c>
      <c r="F22" s="1">
        <v>1</v>
      </c>
      <c r="G22" s="11">
        <v>2.6739999999999999</v>
      </c>
      <c r="H22" s="12">
        <v>1.4970000000000001</v>
      </c>
      <c r="I22" s="13">
        <v>2.7054999999999998</v>
      </c>
      <c r="J22" s="18">
        <f t="shared" si="1"/>
        <v>2.2126603227141088</v>
      </c>
      <c r="K22" s="18">
        <f t="shared" si="0"/>
        <v>7.6904329280722106</v>
      </c>
      <c r="L22" s="33">
        <v>400</v>
      </c>
      <c r="M22" s="1">
        <v>1</v>
      </c>
      <c r="N22" s="38">
        <v>45432</v>
      </c>
      <c r="O22" s="44">
        <v>1028</v>
      </c>
      <c r="P22" s="44">
        <v>2564</v>
      </c>
      <c r="Q22" s="65">
        <v>0.34399999999999997</v>
      </c>
      <c r="R22" s="69">
        <v>520.29999999999995</v>
      </c>
      <c r="S22" s="74">
        <v>767</v>
      </c>
      <c r="T22" s="49">
        <v>41810</v>
      </c>
      <c r="U22" s="56">
        <v>4.6399999999999997</v>
      </c>
      <c r="V22" s="56">
        <v>5.6</v>
      </c>
      <c r="W22" s="1">
        <v>4.9000000000000004</v>
      </c>
      <c r="X22" s="28">
        <v>2.2799999999999998</v>
      </c>
      <c r="Y22" s="60">
        <v>15.2</v>
      </c>
      <c r="Z22" s="1">
        <v>68</v>
      </c>
      <c r="AA22" s="60">
        <v>1.1000000000000001</v>
      </c>
      <c r="AB22" s="1">
        <v>87</v>
      </c>
      <c r="AC22" s="1">
        <v>53</v>
      </c>
      <c r="AD22" s="1">
        <v>37</v>
      </c>
      <c r="AE22" s="36">
        <v>5</v>
      </c>
    </row>
    <row r="23" spans="1:31" x14ac:dyDescent="0.2">
      <c r="A23" s="1">
        <v>2</v>
      </c>
      <c r="B23" s="1" t="s">
        <v>38</v>
      </c>
      <c r="C23" s="28">
        <v>2.3969999999999998</v>
      </c>
      <c r="D23" s="1">
        <v>19</v>
      </c>
      <c r="E23" s="1">
        <v>2</v>
      </c>
      <c r="F23" s="1">
        <v>2</v>
      </c>
      <c r="G23" s="11">
        <v>2.6415000000000002</v>
      </c>
      <c r="H23" s="12">
        <v>1.4655</v>
      </c>
      <c r="I23" s="13">
        <v>2.6549999999999998</v>
      </c>
      <c r="J23" s="18">
        <f t="shared" si="1"/>
        <v>2.2206809583858771</v>
      </c>
      <c r="K23" s="18">
        <f t="shared" si="0"/>
        <v>7.3558215108102898</v>
      </c>
      <c r="L23" s="33">
        <v>400</v>
      </c>
      <c r="M23" s="1">
        <v>2</v>
      </c>
      <c r="N23" s="38">
        <v>45432</v>
      </c>
      <c r="O23" s="44">
        <v>650</v>
      </c>
      <c r="P23" s="44">
        <v>1629</v>
      </c>
      <c r="Q23" s="65">
        <v>0.29699999999999999</v>
      </c>
      <c r="R23" s="69">
        <v>334.1</v>
      </c>
      <c r="S23" s="74">
        <v>489</v>
      </c>
      <c r="T23" s="49">
        <v>267780</v>
      </c>
      <c r="U23" s="56">
        <v>4.6399999999999997</v>
      </c>
      <c r="V23" s="56">
        <v>5.6</v>
      </c>
      <c r="W23" s="1">
        <v>4.9000000000000004</v>
      </c>
      <c r="X23" s="28">
        <v>2.2799999999999998</v>
      </c>
      <c r="Y23" s="60">
        <v>15.2</v>
      </c>
      <c r="Z23" s="1">
        <v>68</v>
      </c>
      <c r="AA23" s="60">
        <v>1.1000000000000001</v>
      </c>
      <c r="AB23" s="1">
        <v>87</v>
      </c>
      <c r="AC23" s="1">
        <v>53</v>
      </c>
      <c r="AD23" s="1">
        <v>37</v>
      </c>
      <c r="AE23" s="36">
        <v>5</v>
      </c>
    </row>
    <row r="24" spans="1:31" x14ac:dyDescent="0.2">
      <c r="A24" s="1">
        <v>2</v>
      </c>
      <c r="B24" s="1" t="s">
        <v>38</v>
      </c>
      <c r="C24" s="28">
        <v>2.3969999999999998</v>
      </c>
      <c r="D24" s="1">
        <v>19</v>
      </c>
      <c r="E24" s="1">
        <v>2</v>
      </c>
      <c r="F24" s="1">
        <v>3</v>
      </c>
      <c r="G24" s="11">
        <v>2.6564999999999999</v>
      </c>
      <c r="H24" s="12">
        <v>1.484</v>
      </c>
      <c r="I24" s="13">
        <v>2.6779999999999999</v>
      </c>
      <c r="J24" s="18">
        <f t="shared" si="1"/>
        <v>2.2248743718592965</v>
      </c>
      <c r="K24" s="18">
        <f t="shared" si="0"/>
        <v>7.1808772691157046</v>
      </c>
      <c r="L24" s="33">
        <v>400</v>
      </c>
      <c r="M24" s="1">
        <v>3</v>
      </c>
      <c r="N24" s="38">
        <v>45433</v>
      </c>
      <c r="O24" s="44">
        <v>1585</v>
      </c>
      <c r="P24" s="44">
        <v>3963</v>
      </c>
      <c r="Q24" s="65">
        <v>0.32500000000000001</v>
      </c>
      <c r="R24" s="69">
        <v>780.9</v>
      </c>
      <c r="S24" s="74">
        <v>1189</v>
      </c>
      <c r="T24" s="49">
        <v>47550</v>
      </c>
      <c r="U24" s="56">
        <v>4.6399999999999997</v>
      </c>
      <c r="V24" s="56">
        <v>5.6</v>
      </c>
      <c r="W24" s="1">
        <v>4.9000000000000004</v>
      </c>
      <c r="X24" s="28">
        <v>2.2799999999999998</v>
      </c>
      <c r="Y24" s="60">
        <v>15.2</v>
      </c>
      <c r="Z24" s="1">
        <v>68</v>
      </c>
      <c r="AA24" s="60">
        <v>1.1000000000000001</v>
      </c>
      <c r="AB24" s="1">
        <v>87</v>
      </c>
      <c r="AC24" s="1">
        <v>53</v>
      </c>
      <c r="AD24" s="1">
        <v>37</v>
      </c>
      <c r="AE24" s="36">
        <v>5</v>
      </c>
    </row>
    <row r="25" spans="1:31" ht="16" thickBot="1" x14ac:dyDescent="0.25">
      <c r="A25" s="1">
        <v>2</v>
      </c>
      <c r="B25" s="1" t="s">
        <v>38</v>
      </c>
      <c r="C25" s="29">
        <v>2.3969999999999998</v>
      </c>
      <c r="D25" s="2">
        <v>19</v>
      </c>
      <c r="E25" s="2">
        <v>2</v>
      </c>
      <c r="F25" s="2">
        <v>4</v>
      </c>
      <c r="G25" s="16">
        <v>2.6145</v>
      </c>
      <c r="H25" s="10">
        <v>1.4535</v>
      </c>
      <c r="I25" s="17">
        <v>2.6305000000000001</v>
      </c>
      <c r="J25" s="20">
        <f t="shared" si="1"/>
        <v>2.221325403568394</v>
      </c>
      <c r="K25" s="20">
        <f t="shared" si="0"/>
        <v>7.3289360213435906</v>
      </c>
      <c r="L25" s="34">
        <v>400</v>
      </c>
      <c r="M25" s="2">
        <v>4</v>
      </c>
      <c r="N25" s="39">
        <v>45433</v>
      </c>
      <c r="O25" s="46">
        <v>1630</v>
      </c>
      <c r="P25" s="46">
        <v>4085</v>
      </c>
      <c r="Q25" s="66">
        <v>0.32</v>
      </c>
      <c r="R25" s="70">
        <v>835.6</v>
      </c>
      <c r="S25" s="76">
        <v>1225</v>
      </c>
      <c r="T25" s="50">
        <v>25060</v>
      </c>
      <c r="U25" s="57">
        <v>4.6399999999999997</v>
      </c>
      <c r="V25" s="57">
        <v>5.6</v>
      </c>
      <c r="W25" s="2">
        <v>4.9000000000000004</v>
      </c>
      <c r="X25" s="29">
        <v>2.2799999999999998</v>
      </c>
      <c r="Y25" s="61">
        <v>15.2</v>
      </c>
      <c r="Z25" s="2">
        <v>68</v>
      </c>
      <c r="AA25" s="61">
        <v>1.1000000000000001</v>
      </c>
      <c r="AB25" s="2">
        <v>87</v>
      </c>
      <c r="AC25" s="2">
        <v>53</v>
      </c>
      <c r="AD25" s="2">
        <v>37</v>
      </c>
      <c r="AE25" s="4">
        <v>5</v>
      </c>
    </row>
    <row r="26" spans="1:31" x14ac:dyDescent="0.2">
      <c r="A26" s="1">
        <v>3</v>
      </c>
      <c r="B26" s="1" t="s">
        <v>39</v>
      </c>
      <c r="C26" s="28">
        <v>2.3780000000000001</v>
      </c>
      <c r="D26" s="1">
        <v>12.5</v>
      </c>
      <c r="E26" s="26">
        <v>1</v>
      </c>
      <c r="F26" s="26">
        <v>0</v>
      </c>
      <c r="G26" s="21">
        <v>24.1035</v>
      </c>
      <c r="H26" s="22">
        <v>13.2965</v>
      </c>
      <c r="I26" s="23">
        <v>24.3095</v>
      </c>
      <c r="J26" s="24">
        <f t="shared" si="1"/>
        <v>2.1886406973576684</v>
      </c>
      <c r="K26" s="24">
        <f t="shared" si="0"/>
        <v>7.9629647873141973</v>
      </c>
      <c r="L26" s="32">
        <v>0</v>
      </c>
      <c r="M26" s="30"/>
      <c r="N26" s="40"/>
      <c r="O26" s="45"/>
      <c r="P26" s="45"/>
      <c r="Q26" s="64"/>
      <c r="R26" s="68"/>
      <c r="S26" s="73"/>
      <c r="T26" s="48"/>
      <c r="U26" s="59">
        <v>4.99</v>
      </c>
      <c r="V26" s="59">
        <v>5.6</v>
      </c>
      <c r="W26" s="30">
        <v>4.4000000000000004</v>
      </c>
      <c r="X26" s="31">
        <v>2.2730000000000001</v>
      </c>
      <c r="Y26" s="63">
        <v>15.5</v>
      </c>
      <c r="Z26" s="30">
        <v>72</v>
      </c>
      <c r="AA26" s="63">
        <v>1.1000000000000001</v>
      </c>
      <c r="AB26" s="30">
        <v>92</v>
      </c>
      <c r="AC26" s="30">
        <v>55</v>
      </c>
      <c r="AD26" s="30">
        <v>38</v>
      </c>
      <c r="AE26" s="35">
        <v>5.6</v>
      </c>
    </row>
    <row r="27" spans="1:31" x14ac:dyDescent="0.2">
      <c r="A27" s="1">
        <v>3</v>
      </c>
      <c r="B27" s="1" t="s">
        <v>39</v>
      </c>
      <c r="C27" s="28">
        <v>2.3780000000000001</v>
      </c>
      <c r="D27" s="1">
        <v>12.5</v>
      </c>
      <c r="E27" s="1">
        <v>1</v>
      </c>
      <c r="F27" s="1">
        <v>1</v>
      </c>
      <c r="G27" s="11">
        <v>2.6404999999999998</v>
      </c>
      <c r="H27" s="12">
        <v>1.4524999999999999</v>
      </c>
      <c r="I27" s="13">
        <v>2.6520000000000001</v>
      </c>
      <c r="J27" s="18">
        <f t="shared" si="1"/>
        <v>2.2013338891204661</v>
      </c>
      <c r="K27" s="18">
        <f t="shared" si="0"/>
        <v>7.4291888511158088</v>
      </c>
      <c r="L27" s="33">
        <v>600</v>
      </c>
      <c r="M27" s="1">
        <v>1</v>
      </c>
      <c r="N27" s="38">
        <v>45447</v>
      </c>
      <c r="O27" s="44">
        <v>2815</v>
      </c>
      <c r="P27" s="44">
        <v>4696</v>
      </c>
      <c r="Q27" s="65">
        <v>1.778</v>
      </c>
      <c r="R27" s="69">
        <v>1387.3</v>
      </c>
      <c r="S27" s="74">
        <v>1408</v>
      </c>
      <c r="T27" s="49">
        <v>26250</v>
      </c>
      <c r="U27" s="56">
        <v>4.99</v>
      </c>
      <c r="V27" s="56">
        <v>5.6</v>
      </c>
      <c r="W27" s="1">
        <v>4.4000000000000004</v>
      </c>
      <c r="X27" s="28">
        <v>2.2730000000000001</v>
      </c>
      <c r="Y27" s="60">
        <v>15.5</v>
      </c>
      <c r="Z27" s="1">
        <v>72</v>
      </c>
      <c r="AA27" s="60">
        <v>1.1000000000000001</v>
      </c>
      <c r="AB27" s="1">
        <v>92</v>
      </c>
      <c r="AC27" s="1">
        <v>55</v>
      </c>
      <c r="AD27" s="1">
        <v>38</v>
      </c>
      <c r="AE27" s="36">
        <v>5.6</v>
      </c>
    </row>
    <row r="28" spans="1:31" x14ac:dyDescent="0.2">
      <c r="A28" s="1">
        <v>3</v>
      </c>
      <c r="B28" s="1" t="s">
        <v>39</v>
      </c>
      <c r="C28" s="28">
        <v>2.3780000000000001</v>
      </c>
      <c r="D28" s="1">
        <v>12.5</v>
      </c>
      <c r="E28" s="1">
        <v>1</v>
      </c>
      <c r="F28" s="1">
        <v>2</v>
      </c>
      <c r="G28" s="11">
        <v>2.7294999999999998</v>
      </c>
      <c r="H28" s="12">
        <v>1.512</v>
      </c>
      <c r="I28" s="13">
        <v>2.7534999999999998</v>
      </c>
      <c r="J28" s="18">
        <f t="shared" si="1"/>
        <v>2.1985501409585182</v>
      </c>
      <c r="K28" s="18">
        <f t="shared" si="0"/>
        <v>7.5462514315173257</v>
      </c>
      <c r="L28" s="33">
        <v>600</v>
      </c>
      <c r="M28" s="1">
        <v>2</v>
      </c>
      <c r="N28" s="38">
        <v>45447</v>
      </c>
      <c r="O28" s="44">
        <v>2932</v>
      </c>
      <c r="P28" s="44">
        <v>4874</v>
      </c>
      <c r="Q28" s="65">
        <v>1.849</v>
      </c>
      <c r="R28" s="69">
        <v>1458.3</v>
      </c>
      <c r="S28" s="74">
        <v>2449</v>
      </c>
      <c r="T28" s="49">
        <v>41460</v>
      </c>
      <c r="U28" s="56">
        <v>4.99</v>
      </c>
      <c r="V28" s="56">
        <v>5.6</v>
      </c>
      <c r="W28" s="1">
        <v>4.4000000000000004</v>
      </c>
      <c r="X28" s="28">
        <v>2.2730000000000001</v>
      </c>
      <c r="Y28" s="60">
        <v>15.5</v>
      </c>
      <c r="Z28" s="1">
        <v>72</v>
      </c>
      <c r="AA28" s="60">
        <v>1.1000000000000001</v>
      </c>
      <c r="AB28" s="1">
        <v>92</v>
      </c>
      <c r="AC28" s="1">
        <v>55</v>
      </c>
      <c r="AD28" s="1">
        <v>38</v>
      </c>
      <c r="AE28" s="36">
        <v>5.6</v>
      </c>
    </row>
    <row r="29" spans="1:31" x14ac:dyDescent="0.2">
      <c r="A29" s="1">
        <v>3</v>
      </c>
      <c r="B29" s="1" t="s">
        <v>39</v>
      </c>
      <c r="C29" s="28">
        <v>2.3780000000000001</v>
      </c>
      <c r="D29" s="1">
        <v>12.5</v>
      </c>
      <c r="E29" s="1">
        <v>1</v>
      </c>
      <c r="F29" s="1">
        <v>3</v>
      </c>
      <c r="G29" s="11">
        <v>2.7389999999999999</v>
      </c>
      <c r="H29" s="12">
        <v>1.5089999999999999</v>
      </c>
      <c r="I29" s="13">
        <v>2.7549999999999999</v>
      </c>
      <c r="J29" s="18">
        <f t="shared" si="1"/>
        <v>2.1982343499197432</v>
      </c>
      <c r="K29" s="18">
        <f t="shared" si="0"/>
        <v>7.559531121962026</v>
      </c>
      <c r="L29" s="33">
        <v>600</v>
      </c>
      <c r="M29" s="1">
        <v>3</v>
      </c>
      <c r="N29" s="38">
        <v>45447</v>
      </c>
      <c r="O29" s="44">
        <v>3016</v>
      </c>
      <c r="P29" s="44">
        <v>5041</v>
      </c>
      <c r="Q29" s="65">
        <v>1.839</v>
      </c>
      <c r="R29" s="69">
        <v>1531.3</v>
      </c>
      <c r="S29" s="74">
        <v>2362</v>
      </c>
      <c r="T29" s="49">
        <v>43000</v>
      </c>
      <c r="U29" s="56">
        <v>4.99</v>
      </c>
      <c r="V29" s="56">
        <v>5.6</v>
      </c>
      <c r="W29" s="1">
        <v>4.4000000000000004</v>
      </c>
      <c r="X29" s="28">
        <v>2.2730000000000001</v>
      </c>
      <c r="Y29" s="60">
        <v>15.5</v>
      </c>
      <c r="Z29" s="1">
        <v>72</v>
      </c>
      <c r="AA29" s="60">
        <v>1.1000000000000001</v>
      </c>
      <c r="AB29" s="1">
        <v>92</v>
      </c>
      <c r="AC29" s="1">
        <v>55</v>
      </c>
      <c r="AD29" s="1">
        <v>38</v>
      </c>
      <c r="AE29" s="36">
        <v>5.6</v>
      </c>
    </row>
    <row r="30" spans="1:31" x14ac:dyDescent="0.2">
      <c r="A30" s="1">
        <v>3</v>
      </c>
      <c r="B30" s="1" t="s">
        <v>39</v>
      </c>
      <c r="C30" s="28">
        <v>2.3780000000000001</v>
      </c>
      <c r="D30" s="1">
        <v>12.5</v>
      </c>
      <c r="E30" s="5">
        <v>1</v>
      </c>
      <c r="F30" s="5">
        <v>4</v>
      </c>
      <c r="G30" s="14">
        <v>2.7614999999999998</v>
      </c>
      <c r="H30" s="9">
        <v>1.54</v>
      </c>
      <c r="I30" s="15">
        <v>2.7915000000000001</v>
      </c>
      <c r="J30" s="19">
        <f t="shared" si="1"/>
        <v>2.2065521374350778</v>
      </c>
      <c r="K30" s="19">
        <f t="shared" si="0"/>
        <v>7.2097503181212108</v>
      </c>
      <c r="L30" s="41">
        <v>400</v>
      </c>
      <c r="M30" s="5">
        <v>4</v>
      </c>
      <c r="N30" s="42">
        <v>45447</v>
      </c>
      <c r="O30" s="47">
        <v>2217</v>
      </c>
      <c r="P30" s="47">
        <v>5522</v>
      </c>
      <c r="Q30" s="67">
        <v>0.78</v>
      </c>
      <c r="R30" s="71">
        <v>1141.2</v>
      </c>
      <c r="S30" s="75">
        <v>2874</v>
      </c>
      <c r="T30" s="51">
        <v>655030</v>
      </c>
      <c r="U30" s="58">
        <v>4.99</v>
      </c>
      <c r="V30" s="58">
        <v>5.6</v>
      </c>
      <c r="W30" s="5">
        <v>4.4000000000000004</v>
      </c>
      <c r="X30" s="53">
        <v>2.2730000000000001</v>
      </c>
      <c r="Y30" s="62">
        <v>15.5</v>
      </c>
      <c r="Z30" s="5">
        <v>72</v>
      </c>
      <c r="AA30" s="62">
        <v>1.1000000000000001</v>
      </c>
      <c r="AB30" s="5">
        <v>92</v>
      </c>
      <c r="AC30" s="5">
        <v>55</v>
      </c>
      <c r="AD30" s="5">
        <v>38</v>
      </c>
      <c r="AE30" s="43">
        <v>5.6</v>
      </c>
    </row>
    <row r="31" spans="1:31" x14ac:dyDescent="0.2">
      <c r="A31" s="1">
        <v>3</v>
      </c>
      <c r="B31" s="1" t="s">
        <v>40</v>
      </c>
      <c r="C31" s="28">
        <v>2.3780000000000001</v>
      </c>
      <c r="D31" s="1">
        <v>12.5</v>
      </c>
      <c r="E31" s="26">
        <v>2</v>
      </c>
      <c r="F31" s="26">
        <v>0</v>
      </c>
      <c r="G31" s="21">
        <v>24.176500000000001</v>
      </c>
      <c r="H31" s="22">
        <v>13.2905</v>
      </c>
      <c r="I31" s="23">
        <v>24.307500000000001</v>
      </c>
      <c r="J31" s="24">
        <f t="shared" si="1"/>
        <v>2.1944721793591722</v>
      </c>
      <c r="K31" s="24">
        <f t="shared" si="0"/>
        <v>7.7177384626084038</v>
      </c>
      <c r="L31" s="33">
        <v>0</v>
      </c>
      <c r="Q31" s="65"/>
      <c r="R31" s="69"/>
      <c r="S31" s="74"/>
      <c r="T31" s="49"/>
      <c r="U31" s="56">
        <v>4.99</v>
      </c>
      <c r="V31" s="56">
        <v>5.6</v>
      </c>
      <c r="W31" s="1">
        <v>4.4000000000000004</v>
      </c>
      <c r="X31" s="28">
        <v>2.2730000000000001</v>
      </c>
      <c r="Y31" s="60">
        <v>15.5</v>
      </c>
      <c r="Z31" s="1">
        <v>72</v>
      </c>
      <c r="AA31" s="60">
        <v>1.1000000000000001</v>
      </c>
      <c r="AB31" s="1">
        <v>92</v>
      </c>
      <c r="AC31" s="1">
        <v>55</v>
      </c>
      <c r="AD31" s="1">
        <v>38</v>
      </c>
      <c r="AE31" s="36">
        <v>5.6</v>
      </c>
    </row>
    <row r="32" spans="1:31" x14ac:dyDescent="0.2">
      <c r="A32" s="1">
        <v>3</v>
      </c>
      <c r="B32" s="1" t="s">
        <v>40</v>
      </c>
      <c r="C32" s="28">
        <v>2.3780000000000001</v>
      </c>
      <c r="D32" s="1">
        <v>12.5</v>
      </c>
      <c r="E32" s="1">
        <v>2</v>
      </c>
      <c r="F32" s="1">
        <v>1</v>
      </c>
      <c r="G32" s="11">
        <v>2.7305000000000001</v>
      </c>
      <c r="H32" s="12">
        <v>1.5125</v>
      </c>
      <c r="I32" s="13">
        <v>2.7534999999999998</v>
      </c>
      <c r="J32" s="18">
        <f t="shared" si="1"/>
        <v>2.2002417405318293</v>
      </c>
      <c r="K32" s="18">
        <f t="shared" si="0"/>
        <v>7.4751160415546973</v>
      </c>
      <c r="L32" s="33">
        <v>400</v>
      </c>
      <c r="M32" s="1">
        <v>1</v>
      </c>
      <c r="N32" s="38">
        <v>45448</v>
      </c>
      <c r="O32" s="44">
        <v>2350</v>
      </c>
      <c r="P32" s="44">
        <v>5867</v>
      </c>
      <c r="Q32" s="65">
        <v>0.71699999999999997</v>
      </c>
      <c r="R32" s="69">
        <v>1182.5999999999999</v>
      </c>
      <c r="S32" s="74">
        <v>3830</v>
      </c>
      <c r="T32" s="49">
        <v>321630</v>
      </c>
      <c r="U32" s="56">
        <v>4.99</v>
      </c>
      <c r="V32" s="56">
        <v>5.6</v>
      </c>
      <c r="W32" s="1">
        <v>4.4000000000000004</v>
      </c>
      <c r="X32" s="28">
        <v>2.2730000000000001</v>
      </c>
      <c r="Y32" s="60">
        <v>15.5</v>
      </c>
      <c r="Z32" s="1">
        <v>72</v>
      </c>
      <c r="AA32" s="60">
        <v>1.1000000000000001</v>
      </c>
      <c r="AB32" s="1">
        <v>92</v>
      </c>
      <c r="AC32" s="1">
        <v>55</v>
      </c>
      <c r="AD32" s="1">
        <v>38</v>
      </c>
      <c r="AE32" s="36">
        <v>5.6</v>
      </c>
    </row>
    <row r="33" spans="1:31" x14ac:dyDescent="0.2">
      <c r="A33" s="1">
        <v>3</v>
      </c>
      <c r="B33" s="1" t="s">
        <v>40</v>
      </c>
      <c r="C33" s="28">
        <v>2.3780000000000001</v>
      </c>
      <c r="D33" s="1">
        <v>12.5</v>
      </c>
      <c r="E33" s="1">
        <v>2</v>
      </c>
      <c r="F33" s="1">
        <v>2</v>
      </c>
      <c r="G33" s="11">
        <v>2.7349999999999999</v>
      </c>
      <c r="H33" s="12">
        <v>1.4975000000000001</v>
      </c>
      <c r="I33" s="13">
        <v>2.7450000000000001</v>
      </c>
      <c r="J33" s="18">
        <f t="shared" si="1"/>
        <v>2.1923847695390779</v>
      </c>
      <c r="K33" s="18">
        <f t="shared" si="0"/>
        <v>7.8055185223264161</v>
      </c>
      <c r="L33" s="33">
        <v>400</v>
      </c>
      <c r="M33" s="1">
        <v>2</v>
      </c>
      <c r="N33" s="38">
        <v>45449</v>
      </c>
      <c r="O33" s="44">
        <v>2095</v>
      </c>
      <c r="P33" s="44">
        <v>5248</v>
      </c>
      <c r="Q33" s="65">
        <v>0.79500000000000004</v>
      </c>
      <c r="R33" s="69">
        <v>1072</v>
      </c>
      <c r="S33" s="74">
        <v>3649</v>
      </c>
      <c r="T33" s="49">
        <v>302110</v>
      </c>
      <c r="U33" s="56">
        <v>4.99</v>
      </c>
      <c r="V33" s="56">
        <v>5.6</v>
      </c>
      <c r="W33" s="1">
        <v>4.4000000000000004</v>
      </c>
      <c r="X33" s="28">
        <v>2.2730000000000001</v>
      </c>
      <c r="Y33" s="60">
        <v>15.5</v>
      </c>
      <c r="Z33" s="1">
        <v>72</v>
      </c>
      <c r="AA33" s="60">
        <v>1.1000000000000001</v>
      </c>
      <c r="AB33" s="1">
        <v>92</v>
      </c>
      <c r="AC33" s="1">
        <v>55</v>
      </c>
      <c r="AD33" s="1">
        <v>38</v>
      </c>
      <c r="AE33" s="36">
        <v>5.6</v>
      </c>
    </row>
    <row r="34" spans="1:31" x14ac:dyDescent="0.2">
      <c r="A34" s="1">
        <v>3</v>
      </c>
      <c r="B34" s="1" t="s">
        <v>40</v>
      </c>
      <c r="C34" s="28">
        <v>2.3780000000000001</v>
      </c>
      <c r="D34" s="1">
        <v>12.5</v>
      </c>
      <c r="E34" s="1">
        <v>2</v>
      </c>
      <c r="F34" s="1">
        <v>3</v>
      </c>
      <c r="G34" s="11">
        <v>2.7214999999999998</v>
      </c>
      <c r="H34" s="12">
        <v>1.5115000000000001</v>
      </c>
      <c r="I34" s="13">
        <v>2.7450000000000001</v>
      </c>
      <c r="J34" s="18">
        <f t="shared" si="1"/>
        <v>2.2063234698013781</v>
      </c>
      <c r="K34" s="18">
        <f t="shared" si="0"/>
        <v>7.2193662825324694</v>
      </c>
      <c r="L34" s="33"/>
      <c r="Q34" s="65"/>
      <c r="R34" s="69"/>
      <c r="S34" s="74"/>
      <c r="T34" s="49"/>
      <c r="U34" s="56">
        <v>4.99</v>
      </c>
      <c r="V34" s="56">
        <v>5.6</v>
      </c>
      <c r="W34" s="1">
        <v>4.4000000000000004</v>
      </c>
      <c r="X34" s="28">
        <v>2.2730000000000001</v>
      </c>
      <c r="Y34" s="60">
        <v>15.5</v>
      </c>
      <c r="Z34" s="1">
        <v>72</v>
      </c>
      <c r="AA34" s="60">
        <v>1.1000000000000001</v>
      </c>
      <c r="AB34" s="1">
        <v>92</v>
      </c>
      <c r="AC34" s="1">
        <v>55</v>
      </c>
      <c r="AD34" s="1">
        <v>38</v>
      </c>
      <c r="AE34" s="36">
        <v>5.6</v>
      </c>
    </row>
    <row r="35" spans="1:31" ht="16" thickBot="1" x14ac:dyDescent="0.25">
      <c r="A35" s="1">
        <v>3</v>
      </c>
      <c r="B35" s="1" t="s">
        <v>40</v>
      </c>
      <c r="C35" s="29">
        <v>2.3780000000000001</v>
      </c>
      <c r="D35" s="2">
        <v>12.5</v>
      </c>
      <c r="E35" s="2">
        <v>2</v>
      </c>
      <c r="F35" s="2">
        <v>4</v>
      </c>
      <c r="G35" s="16">
        <v>2.758</v>
      </c>
      <c r="H35" s="10">
        <v>1.5205</v>
      </c>
      <c r="I35" s="17">
        <v>2.7745000000000002</v>
      </c>
      <c r="J35" s="20">
        <f t="shared" si="1"/>
        <v>2.1993620414673041</v>
      </c>
      <c r="K35" s="20">
        <f t="shared" si="0"/>
        <v>7.5121092738728361</v>
      </c>
      <c r="L35" s="34"/>
      <c r="M35" s="2"/>
      <c r="N35" s="39"/>
      <c r="O35" s="46"/>
      <c r="P35" s="46"/>
      <c r="Q35" s="66"/>
      <c r="R35" s="70"/>
      <c r="S35" s="76"/>
      <c r="T35" s="50"/>
      <c r="U35" s="57">
        <v>4.99</v>
      </c>
      <c r="V35" s="57">
        <v>5.6</v>
      </c>
      <c r="W35" s="2">
        <v>4.4000000000000004</v>
      </c>
      <c r="X35" s="29">
        <v>2.2730000000000001</v>
      </c>
      <c r="Y35" s="61">
        <v>15.5</v>
      </c>
      <c r="Z35" s="2">
        <v>72</v>
      </c>
      <c r="AA35" s="61">
        <v>1.1000000000000001</v>
      </c>
      <c r="AB35" s="2">
        <v>92</v>
      </c>
      <c r="AC35" s="2">
        <v>55</v>
      </c>
      <c r="AD35" s="2">
        <v>38</v>
      </c>
      <c r="AE35" s="4">
        <v>5.6</v>
      </c>
    </row>
    <row r="36" spans="1:31" x14ac:dyDescent="0.2">
      <c r="A36" s="1">
        <v>4</v>
      </c>
      <c r="B36" s="1" t="s">
        <v>41</v>
      </c>
      <c r="C36" s="28">
        <v>2.383</v>
      </c>
      <c r="D36" s="1">
        <v>19</v>
      </c>
      <c r="E36" s="26">
        <v>1</v>
      </c>
      <c r="F36" s="26">
        <v>0</v>
      </c>
      <c r="G36" s="21">
        <v>24.217500000000001</v>
      </c>
      <c r="H36" s="22">
        <v>13.4785</v>
      </c>
      <c r="I36" s="23">
        <v>24.469000000000001</v>
      </c>
      <c r="J36" s="24">
        <f t="shared" si="1"/>
        <v>2.2034939265729494</v>
      </c>
      <c r="K36" s="24">
        <f t="shared" si="0"/>
        <v>7.5327768958057373</v>
      </c>
      <c r="L36" s="33">
        <v>0</v>
      </c>
      <c r="Q36" s="65"/>
      <c r="R36" s="69"/>
      <c r="S36" s="74"/>
      <c r="T36" s="49"/>
      <c r="U36" s="56">
        <v>4.9400000000000004</v>
      </c>
      <c r="V36" s="56">
        <v>5.68</v>
      </c>
      <c r="W36" s="1">
        <v>3.9</v>
      </c>
      <c r="X36" s="28">
        <v>2.2909999999999999</v>
      </c>
      <c r="Y36" s="60">
        <v>14.9</v>
      </c>
      <c r="Z36" s="1">
        <v>74</v>
      </c>
      <c r="AA36" s="60">
        <v>1</v>
      </c>
      <c r="AB36" s="1">
        <v>83</v>
      </c>
      <c r="AC36" s="1">
        <v>47</v>
      </c>
      <c r="AD36" s="1">
        <v>34</v>
      </c>
      <c r="AE36" s="36">
        <v>5</v>
      </c>
    </row>
    <row r="37" spans="1:31" x14ac:dyDescent="0.2">
      <c r="A37" s="1">
        <v>4</v>
      </c>
      <c r="B37" s="1" t="s">
        <v>41</v>
      </c>
      <c r="C37" s="28">
        <v>2.383</v>
      </c>
      <c r="D37" s="1">
        <v>19</v>
      </c>
      <c r="E37" s="1">
        <v>1</v>
      </c>
      <c r="F37" s="1">
        <v>1</v>
      </c>
      <c r="G37" s="11">
        <v>2.7865000000000002</v>
      </c>
      <c r="H37" s="12">
        <v>1.5549999999999999</v>
      </c>
      <c r="I37" s="13">
        <v>2.7989999999999999</v>
      </c>
      <c r="J37" s="18">
        <f t="shared" si="1"/>
        <v>2.239951768488746</v>
      </c>
      <c r="K37" s="18">
        <f t="shared" si="0"/>
        <v>6.002863261068148</v>
      </c>
      <c r="L37" s="33">
        <v>600</v>
      </c>
      <c r="M37" s="1">
        <v>1</v>
      </c>
      <c r="N37" s="38">
        <v>45441</v>
      </c>
      <c r="O37" s="44">
        <v>2764</v>
      </c>
      <c r="P37" s="44">
        <v>4613</v>
      </c>
      <c r="Q37" s="65">
        <v>1.9730000000000001</v>
      </c>
      <c r="R37" s="69">
        <v>1414</v>
      </c>
      <c r="S37" s="74">
        <v>2639</v>
      </c>
      <c r="T37" s="49">
        <v>77850</v>
      </c>
      <c r="U37" s="56">
        <v>4.9400000000000004</v>
      </c>
      <c r="V37" s="56">
        <v>5.68</v>
      </c>
      <c r="W37" s="1">
        <v>3.9</v>
      </c>
      <c r="X37" s="28">
        <v>2.2909999999999999</v>
      </c>
      <c r="Y37" s="60">
        <v>14.9</v>
      </c>
      <c r="Z37" s="1">
        <v>74</v>
      </c>
      <c r="AA37" s="60">
        <v>1</v>
      </c>
      <c r="AB37" s="1">
        <v>83</v>
      </c>
      <c r="AC37" s="1">
        <v>47</v>
      </c>
      <c r="AD37" s="1">
        <v>34</v>
      </c>
      <c r="AE37" s="36">
        <v>5</v>
      </c>
    </row>
    <row r="38" spans="1:31" x14ac:dyDescent="0.2">
      <c r="A38" s="1">
        <v>4</v>
      </c>
      <c r="B38" s="1" t="s">
        <v>41</v>
      </c>
      <c r="C38" s="28">
        <v>2.383</v>
      </c>
      <c r="D38" s="1">
        <v>19</v>
      </c>
      <c r="E38" s="1">
        <v>1</v>
      </c>
      <c r="F38" s="1">
        <v>2</v>
      </c>
      <c r="G38" s="11">
        <v>2.8414999999999999</v>
      </c>
      <c r="H38" s="12">
        <v>1.577</v>
      </c>
      <c r="I38" s="13">
        <v>2.8525</v>
      </c>
      <c r="J38" s="18">
        <f t="shared" si="1"/>
        <v>2.2277538220305759</v>
      </c>
      <c r="K38" s="18">
        <f t="shared" si="0"/>
        <v>6.5147368010668893</v>
      </c>
      <c r="L38" s="33">
        <v>600</v>
      </c>
      <c r="M38" s="1">
        <v>2</v>
      </c>
      <c r="N38" s="38">
        <v>45441</v>
      </c>
      <c r="O38" s="44">
        <v>3327</v>
      </c>
      <c r="P38" s="44">
        <v>5525</v>
      </c>
      <c r="Q38" s="65">
        <v>2.0590000000000002</v>
      </c>
      <c r="R38" s="69">
        <v>1713.2</v>
      </c>
      <c r="S38" s="74">
        <v>1861</v>
      </c>
      <c r="T38" s="49">
        <v>107500</v>
      </c>
      <c r="U38" s="56">
        <v>4.9400000000000004</v>
      </c>
      <c r="V38" s="56">
        <v>5.68</v>
      </c>
      <c r="W38" s="1">
        <v>3.9</v>
      </c>
      <c r="X38" s="28">
        <v>2.2909999999999999</v>
      </c>
      <c r="Y38" s="60">
        <v>14.9</v>
      </c>
      <c r="Z38" s="1">
        <v>74</v>
      </c>
      <c r="AA38" s="60">
        <v>1</v>
      </c>
      <c r="AB38" s="1">
        <v>83</v>
      </c>
      <c r="AC38" s="1">
        <v>47</v>
      </c>
      <c r="AD38" s="1">
        <v>34</v>
      </c>
      <c r="AE38" s="36">
        <v>5</v>
      </c>
    </row>
    <row r="39" spans="1:31" x14ac:dyDescent="0.2">
      <c r="A39" s="1">
        <v>4</v>
      </c>
      <c r="B39" s="1" t="s">
        <v>41</v>
      </c>
      <c r="C39" s="28">
        <v>2.383</v>
      </c>
      <c r="D39" s="1">
        <v>19</v>
      </c>
      <c r="E39" s="1">
        <v>1</v>
      </c>
      <c r="F39" s="1">
        <v>3</v>
      </c>
      <c r="G39" s="11">
        <v>2.7429999999999999</v>
      </c>
      <c r="H39" s="12">
        <v>1.5305</v>
      </c>
      <c r="I39" s="13">
        <v>2.758</v>
      </c>
      <c r="J39" s="18">
        <f t="shared" si="1"/>
        <v>2.2346232179226067</v>
      </c>
      <c r="K39" s="18">
        <f t="shared" si="0"/>
        <v>6.226470082979163</v>
      </c>
      <c r="L39" s="33">
        <v>600</v>
      </c>
      <c r="M39" s="1">
        <v>3</v>
      </c>
      <c r="N39" s="38">
        <v>45441</v>
      </c>
      <c r="O39" s="44">
        <v>3255</v>
      </c>
      <c r="P39" s="44">
        <v>5416</v>
      </c>
      <c r="Q39" s="65">
        <v>2.0459999999999998</v>
      </c>
      <c r="R39" s="69">
        <v>1633.8</v>
      </c>
      <c r="S39" s="74">
        <v>3046</v>
      </c>
      <c r="T39" s="49">
        <v>45450</v>
      </c>
      <c r="U39" s="56">
        <v>4.9400000000000004</v>
      </c>
      <c r="V39" s="56">
        <v>5.68</v>
      </c>
      <c r="W39" s="1">
        <v>3.9</v>
      </c>
      <c r="X39" s="28">
        <v>2.2909999999999999</v>
      </c>
      <c r="Y39" s="60">
        <v>14.9</v>
      </c>
      <c r="Z39" s="1">
        <v>74</v>
      </c>
      <c r="AA39" s="60">
        <v>1</v>
      </c>
      <c r="AB39" s="1">
        <v>83</v>
      </c>
      <c r="AC39" s="1">
        <v>47</v>
      </c>
      <c r="AD39" s="1">
        <v>34</v>
      </c>
      <c r="AE39" s="36">
        <v>5</v>
      </c>
    </row>
    <row r="40" spans="1:31" x14ac:dyDescent="0.2">
      <c r="A40" s="1">
        <v>4</v>
      </c>
      <c r="B40" s="1" t="s">
        <v>41</v>
      </c>
      <c r="C40" s="28">
        <v>2.383</v>
      </c>
      <c r="D40" s="1">
        <v>19</v>
      </c>
      <c r="E40" s="5">
        <v>1</v>
      </c>
      <c r="F40" s="5">
        <v>4</v>
      </c>
      <c r="G40" s="14">
        <v>2.6680000000000001</v>
      </c>
      <c r="H40" s="9">
        <v>1.4910000000000001</v>
      </c>
      <c r="I40" s="15">
        <v>2.6840000000000002</v>
      </c>
      <c r="J40" s="19">
        <f t="shared" si="1"/>
        <v>2.2363788767812238</v>
      </c>
      <c r="K40" s="19">
        <f t="shared" si="0"/>
        <v>6.1527957708256924</v>
      </c>
      <c r="L40" s="41">
        <v>400</v>
      </c>
      <c r="M40" s="5">
        <v>4</v>
      </c>
      <c r="N40" s="42">
        <v>45441</v>
      </c>
      <c r="O40" s="47">
        <v>2229</v>
      </c>
      <c r="P40" s="47">
        <v>5579</v>
      </c>
      <c r="Q40" s="67">
        <v>0.83899999999999997</v>
      </c>
      <c r="R40" s="71">
        <v>1088.3</v>
      </c>
      <c r="S40" s="75">
        <v>3254</v>
      </c>
      <c r="T40" s="51">
        <v>537410</v>
      </c>
      <c r="U40" s="58">
        <v>4.9400000000000004</v>
      </c>
      <c r="V40" s="58">
        <v>5.68</v>
      </c>
      <c r="W40" s="5">
        <v>3.9</v>
      </c>
      <c r="X40" s="53">
        <v>2.2909999999999999</v>
      </c>
      <c r="Y40" s="62">
        <v>14.9</v>
      </c>
      <c r="Z40" s="5">
        <v>74</v>
      </c>
      <c r="AA40" s="62">
        <v>1</v>
      </c>
      <c r="AB40" s="5">
        <v>83</v>
      </c>
      <c r="AC40" s="5">
        <v>47</v>
      </c>
      <c r="AD40" s="5">
        <v>34</v>
      </c>
      <c r="AE40" s="43">
        <v>5</v>
      </c>
    </row>
    <row r="41" spans="1:31" x14ac:dyDescent="0.2">
      <c r="A41" s="1">
        <v>4</v>
      </c>
      <c r="B41" s="1" t="s">
        <v>42</v>
      </c>
      <c r="C41" s="28">
        <v>2.383</v>
      </c>
      <c r="D41" s="1">
        <v>19</v>
      </c>
      <c r="E41" s="26">
        <v>2</v>
      </c>
      <c r="F41" s="26">
        <v>0</v>
      </c>
      <c r="G41" s="21">
        <v>24.1585</v>
      </c>
      <c r="H41" s="22">
        <v>13.44</v>
      </c>
      <c r="I41" s="23">
        <v>24.414999999999999</v>
      </c>
      <c r="J41" s="24">
        <f t="shared" si="1"/>
        <v>2.20123006833713</v>
      </c>
      <c r="K41" s="24">
        <f t="shared" si="0"/>
        <v>7.6277772414129252</v>
      </c>
      <c r="L41" s="33">
        <v>0</v>
      </c>
      <c r="Q41" s="65"/>
      <c r="R41" s="69"/>
      <c r="S41" s="74"/>
      <c r="T41" s="49"/>
      <c r="U41" s="56">
        <v>4.9400000000000004</v>
      </c>
      <c r="V41" s="56">
        <v>5.68</v>
      </c>
      <c r="W41" s="1">
        <v>3.9</v>
      </c>
      <c r="X41" s="28">
        <v>2.2909999999999999</v>
      </c>
      <c r="Y41" s="60">
        <v>14.9</v>
      </c>
      <c r="Z41" s="1">
        <v>74</v>
      </c>
      <c r="AA41" s="60">
        <v>1</v>
      </c>
      <c r="AB41" s="1">
        <v>83</v>
      </c>
      <c r="AC41" s="1">
        <v>47</v>
      </c>
      <c r="AD41" s="1">
        <v>34</v>
      </c>
      <c r="AE41" s="36">
        <v>5</v>
      </c>
    </row>
    <row r="42" spans="1:31" x14ac:dyDescent="0.2">
      <c r="A42" s="1">
        <v>4</v>
      </c>
      <c r="B42" s="1" t="s">
        <v>42</v>
      </c>
      <c r="C42" s="28">
        <v>2.383</v>
      </c>
      <c r="D42" s="1">
        <v>19</v>
      </c>
      <c r="E42" s="1">
        <v>2</v>
      </c>
      <c r="F42" s="1">
        <v>1</v>
      </c>
      <c r="G42" s="11">
        <v>2.8214999999999999</v>
      </c>
      <c r="H42" s="12">
        <v>1.573</v>
      </c>
      <c r="I42" s="13">
        <v>2.8330000000000002</v>
      </c>
      <c r="J42" s="18">
        <f t="shared" si="1"/>
        <v>2.2392857142857139</v>
      </c>
      <c r="K42" s="18">
        <f t="shared" si="0"/>
        <v>6.0308135003896872</v>
      </c>
      <c r="L42" s="33">
        <v>400</v>
      </c>
      <c r="M42" s="1">
        <v>1</v>
      </c>
      <c r="N42" s="38">
        <v>45442</v>
      </c>
      <c r="O42" s="44">
        <v>2446</v>
      </c>
      <c r="P42" s="44">
        <v>6116</v>
      </c>
      <c r="Q42" s="65">
        <v>0.82399999999999995</v>
      </c>
      <c r="R42" s="69">
        <v>1258.5999999999999</v>
      </c>
      <c r="S42" s="74">
        <v>3723</v>
      </c>
      <c r="T42" s="49">
        <v>308220</v>
      </c>
      <c r="U42" s="56">
        <v>4.9400000000000004</v>
      </c>
      <c r="V42" s="56">
        <v>5.68</v>
      </c>
      <c r="W42" s="1">
        <v>3.9</v>
      </c>
      <c r="X42" s="28">
        <v>2.2909999999999999</v>
      </c>
      <c r="Y42" s="60">
        <v>14.9</v>
      </c>
      <c r="Z42" s="1">
        <v>74</v>
      </c>
      <c r="AA42" s="60">
        <v>1</v>
      </c>
      <c r="AB42" s="1">
        <v>83</v>
      </c>
      <c r="AC42" s="1">
        <v>47</v>
      </c>
      <c r="AD42" s="1">
        <v>34</v>
      </c>
      <c r="AE42" s="36">
        <v>5</v>
      </c>
    </row>
    <row r="43" spans="1:31" x14ac:dyDescent="0.2">
      <c r="A43" s="1">
        <v>4</v>
      </c>
      <c r="B43" s="1" t="s">
        <v>42</v>
      </c>
      <c r="C43" s="28">
        <v>2.383</v>
      </c>
      <c r="D43" s="1">
        <v>19</v>
      </c>
      <c r="E43" s="1">
        <v>2</v>
      </c>
      <c r="F43" s="1">
        <v>2</v>
      </c>
      <c r="G43" s="11">
        <v>2.6960000000000002</v>
      </c>
      <c r="H43" s="12">
        <v>1.4984999999999999</v>
      </c>
      <c r="I43" s="13">
        <v>2.7195</v>
      </c>
      <c r="J43" s="18">
        <f t="shared" si="1"/>
        <v>2.2080262080262081</v>
      </c>
      <c r="K43" s="18">
        <f t="shared" si="0"/>
        <v>7.3425846401087629</v>
      </c>
      <c r="L43" s="33">
        <v>400</v>
      </c>
      <c r="M43" s="1">
        <v>2</v>
      </c>
      <c r="N43" s="38">
        <v>45442</v>
      </c>
      <c r="O43" s="44">
        <v>2504</v>
      </c>
      <c r="P43" s="44">
        <v>6267</v>
      </c>
      <c r="Q43" s="65">
        <v>0.79100000000000004</v>
      </c>
      <c r="R43" s="69">
        <v>1232.9000000000001</v>
      </c>
      <c r="S43" s="74">
        <v>3742</v>
      </c>
      <c r="T43" s="49">
        <v>451820</v>
      </c>
      <c r="U43" s="56">
        <v>4.9400000000000004</v>
      </c>
      <c r="V43" s="56">
        <v>5.68</v>
      </c>
      <c r="W43" s="1">
        <v>3.9</v>
      </c>
      <c r="X43" s="28">
        <v>2.2909999999999999</v>
      </c>
      <c r="Y43" s="60">
        <v>14.9</v>
      </c>
      <c r="Z43" s="1">
        <v>74</v>
      </c>
      <c r="AA43" s="60">
        <v>1</v>
      </c>
      <c r="AB43" s="1">
        <v>83</v>
      </c>
      <c r="AC43" s="1">
        <v>47</v>
      </c>
      <c r="AD43" s="1">
        <v>34</v>
      </c>
      <c r="AE43" s="36">
        <v>5</v>
      </c>
    </row>
    <row r="44" spans="1:31" x14ac:dyDescent="0.2">
      <c r="A44" s="1">
        <v>4</v>
      </c>
      <c r="B44" s="1" t="s">
        <v>42</v>
      </c>
      <c r="C44" s="28">
        <v>2.383</v>
      </c>
      <c r="D44" s="1">
        <v>19</v>
      </c>
      <c r="E44" s="1">
        <v>2</v>
      </c>
      <c r="F44" s="1">
        <v>3</v>
      </c>
      <c r="G44" s="11">
        <v>2.7685</v>
      </c>
      <c r="H44" s="12">
        <v>1.5415000000000001</v>
      </c>
      <c r="I44" s="13">
        <v>2.786</v>
      </c>
      <c r="J44" s="18">
        <f t="shared" si="1"/>
        <v>2.2245881880273202</v>
      </c>
      <c r="K44" s="18">
        <f t="shared" si="0"/>
        <v>6.6475791847536598</v>
      </c>
      <c r="L44" s="33"/>
      <c r="Q44" s="65"/>
      <c r="R44" s="69"/>
      <c r="S44" s="74"/>
      <c r="T44" s="49"/>
      <c r="U44" s="56">
        <v>4.9400000000000004</v>
      </c>
      <c r="V44" s="56">
        <v>5.68</v>
      </c>
      <c r="W44" s="1">
        <v>3.9</v>
      </c>
      <c r="X44" s="28">
        <v>2.2909999999999999</v>
      </c>
      <c r="Y44" s="60">
        <v>14.9</v>
      </c>
      <c r="Z44" s="1">
        <v>74</v>
      </c>
      <c r="AA44" s="60">
        <v>1</v>
      </c>
      <c r="AB44" s="1">
        <v>83</v>
      </c>
      <c r="AC44" s="1">
        <v>47</v>
      </c>
      <c r="AD44" s="1">
        <v>34</v>
      </c>
      <c r="AE44" s="36">
        <v>5</v>
      </c>
    </row>
    <row r="45" spans="1:31" ht="16" thickBot="1" x14ac:dyDescent="0.25">
      <c r="A45" s="1">
        <v>4</v>
      </c>
      <c r="B45" s="1" t="s">
        <v>42</v>
      </c>
      <c r="C45" s="29">
        <v>2.383</v>
      </c>
      <c r="D45" s="2">
        <v>19</v>
      </c>
      <c r="E45" s="2">
        <v>2</v>
      </c>
      <c r="F45" s="2">
        <v>4</v>
      </c>
      <c r="G45" s="16">
        <v>2.778</v>
      </c>
      <c r="H45" s="10">
        <v>1.5489999999999999</v>
      </c>
      <c r="I45" s="17">
        <v>2.7989999999999999</v>
      </c>
      <c r="J45" s="20">
        <f t="shared" si="1"/>
        <v>2.2223999999999999</v>
      </c>
      <c r="K45" s="20">
        <f t="shared" si="0"/>
        <v>6.7394041124632871</v>
      </c>
      <c r="L45" s="34"/>
      <c r="M45" s="2"/>
      <c r="N45" s="39"/>
      <c r="O45" s="46"/>
      <c r="P45" s="46"/>
      <c r="Q45" s="66"/>
      <c r="R45" s="70"/>
      <c r="S45" s="76"/>
      <c r="T45" s="50"/>
      <c r="U45" s="57">
        <v>4.9400000000000004</v>
      </c>
      <c r="V45" s="57">
        <v>5.68</v>
      </c>
      <c r="W45" s="2">
        <v>3.9</v>
      </c>
      <c r="X45" s="29">
        <v>2.2909999999999999</v>
      </c>
      <c r="Y45" s="61">
        <v>14.9</v>
      </c>
      <c r="Z45" s="2">
        <v>74</v>
      </c>
      <c r="AA45" s="61">
        <v>1</v>
      </c>
      <c r="AB45" s="2">
        <v>83</v>
      </c>
      <c r="AC45" s="2">
        <v>47</v>
      </c>
      <c r="AD45" s="2">
        <v>34</v>
      </c>
      <c r="AE45" s="4">
        <v>5</v>
      </c>
    </row>
    <row r="46" spans="1:31" x14ac:dyDescent="0.2">
      <c r="A46" s="1">
        <v>5</v>
      </c>
      <c r="B46" s="1" t="s">
        <v>43</v>
      </c>
      <c r="C46" s="28">
        <v>2.3940000000000001</v>
      </c>
      <c r="D46" s="1">
        <v>12.5</v>
      </c>
      <c r="E46" s="26">
        <v>1</v>
      </c>
      <c r="F46" s="26">
        <v>0</v>
      </c>
      <c r="G46" s="21">
        <v>24.489000000000001</v>
      </c>
      <c r="H46" s="22">
        <v>13.62</v>
      </c>
      <c r="I46" s="23">
        <v>24.653400000000001</v>
      </c>
      <c r="J46" s="24">
        <f t="shared" si="1"/>
        <v>2.2195334167165148</v>
      </c>
      <c r="K46" s="24">
        <f t="shared" si="0"/>
        <v>7.287660120446338</v>
      </c>
      <c r="L46" s="33">
        <v>0</v>
      </c>
      <c r="Q46" s="65"/>
      <c r="R46" s="69"/>
      <c r="S46" s="74"/>
      <c r="T46" s="49"/>
      <c r="U46" s="56">
        <v>4.8899999999999997</v>
      </c>
      <c r="V46" s="56">
        <v>6</v>
      </c>
      <c r="W46" s="1">
        <v>3.9</v>
      </c>
      <c r="X46" s="28">
        <v>2.2999999999999998</v>
      </c>
      <c r="Y46" s="60">
        <v>14.9</v>
      </c>
      <c r="Z46" s="1">
        <v>74</v>
      </c>
      <c r="AA46" s="60">
        <v>1.2</v>
      </c>
      <c r="AB46" s="1">
        <v>94</v>
      </c>
      <c r="AC46" s="1">
        <v>53</v>
      </c>
      <c r="AD46" s="1">
        <v>38</v>
      </c>
      <c r="AE46" s="36">
        <v>5.8</v>
      </c>
    </row>
    <row r="47" spans="1:31" x14ac:dyDescent="0.2">
      <c r="A47" s="1">
        <v>5</v>
      </c>
      <c r="B47" s="1" t="s">
        <v>43</v>
      </c>
      <c r="C47" s="28">
        <v>2.3940000000000001</v>
      </c>
      <c r="D47" s="1">
        <v>12.5</v>
      </c>
      <c r="E47" s="1">
        <v>1</v>
      </c>
      <c r="F47" s="1">
        <v>1</v>
      </c>
      <c r="G47" s="11">
        <v>2.7705000000000002</v>
      </c>
      <c r="H47" s="12">
        <v>1.5425</v>
      </c>
      <c r="I47" s="13">
        <v>2.7934999999999999</v>
      </c>
      <c r="J47" s="18">
        <f t="shared" si="1"/>
        <v>2.2146282973621108</v>
      </c>
      <c r="K47" s="18">
        <f t="shared" si="0"/>
        <v>7.4925523240555236</v>
      </c>
      <c r="L47" s="33">
        <v>600</v>
      </c>
      <c r="M47" s="1">
        <v>1</v>
      </c>
      <c r="N47" s="38">
        <v>45452</v>
      </c>
      <c r="O47" s="44">
        <v>2607</v>
      </c>
      <c r="P47" s="44">
        <v>4348</v>
      </c>
      <c r="Q47" s="65">
        <v>1.8839999999999999</v>
      </c>
      <c r="R47" s="69">
        <v>1356.2</v>
      </c>
      <c r="S47" s="74">
        <v>2846</v>
      </c>
      <c r="T47" s="49">
        <v>33550</v>
      </c>
      <c r="U47" s="56">
        <v>4.8899999999999997</v>
      </c>
      <c r="V47" s="56">
        <v>6</v>
      </c>
      <c r="W47" s="1">
        <v>3.9</v>
      </c>
      <c r="X47" s="28">
        <v>2.2999999999999998</v>
      </c>
      <c r="Y47" s="60">
        <v>14.9</v>
      </c>
      <c r="Z47" s="1">
        <v>74</v>
      </c>
      <c r="AA47" s="60">
        <v>1.2</v>
      </c>
      <c r="AB47" s="1">
        <v>94</v>
      </c>
      <c r="AC47" s="1">
        <v>53</v>
      </c>
      <c r="AD47" s="1">
        <v>38</v>
      </c>
      <c r="AE47" s="36">
        <v>5.8</v>
      </c>
    </row>
    <row r="48" spans="1:31" x14ac:dyDescent="0.2">
      <c r="A48" s="1">
        <v>5</v>
      </c>
      <c r="B48" s="1" t="s">
        <v>43</v>
      </c>
      <c r="C48" s="28">
        <v>2.3940000000000001</v>
      </c>
      <c r="D48" s="1">
        <v>12.5</v>
      </c>
      <c r="E48" s="1">
        <v>1</v>
      </c>
      <c r="F48" s="1">
        <v>2</v>
      </c>
      <c r="G48" s="11">
        <v>2.6945000000000001</v>
      </c>
      <c r="H48" s="12">
        <v>1.496</v>
      </c>
      <c r="I48" s="13">
        <v>2.7094999999999998</v>
      </c>
      <c r="J48" s="18">
        <f t="shared" si="1"/>
        <v>2.2204367531932432</v>
      </c>
      <c r="K48" s="18">
        <f t="shared" si="0"/>
        <v>7.2499267671995327</v>
      </c>
      <c r="L48" s="33">
        <v>600</v>
      </c>
      <c r="M48" s="1">
        <v>2</v>
      </c>
      <c r="N48" s="38">
        <v>45452</v>
      </c>
      <c r="O48" s="44">
        <v>3207</v>
      </c>
      <c r="P48" s="44">
        <v>5334</v>
      </c>
      <c r="Q48" s="65">
        <v>2.0059999999999998</v>
      </c>
      <c r="R48" s="69">
        <v>1544.2</v>
      </c>
      <c r="S48" s="74">
        <v>3033</v>
      </c>
      <c r="T48" s="49">
        <v>32230</v>
      </c>
      <c r="U48" s="56">
        <v>4.8899999999999997</v>
      </c>
      <c r="V48" s="56">
        <v>6</v>
      </c>
      <c r="W48" s="1">
        <v>3.9</v>
      </c>
      <c r="X48" s="28">
        <v>2.2999999999999998</v>
      </c>
      <c r="Y48" s="60">
        <v>14.9</v>
      </c>
      <c r="Z48" s="1">
        <v>74</v>
      </c>
      <c r="AA48" s="60">
        <v>1.2</v>
      </c>
      <c r="AB48" s="1">
        <v>94</v>
      </c>
      <c r="AC48" s="1">
        <v>53</v>
      </c>
      <c r="AD48" s="1">
        <v>38</v>
      </c>
      <c r="AE48" s="36">
        <v>5.8</v>
      </c>
    </row>
    <row r="49" spans="1:31" x14ac:dyDescent="0.2">
      <c r="A49" s="1">
        <v>5</v>
      </c>
      <c r="B49" s="1" t="s">
        <v>43</v>
      </c>
      <c r="C49" s="28">
        <v>2.3940000000000001</v>
      </c>
      <c r="D49" s="1">
        <v>12.5</v>
      </c>
      <c r="E49" s="1">
        <v>1</v>
      </c>
      <c r="F49" s="1">
        <v>3</v>
      </c>
      <c r="G49" s="11">
        <v>2.7825000000000002</v>
      </c>
      <c r="H49" s="12">
        <v>1.554</v>
      </c>
      <c r="I49" s="13">
        <v>2.8090000000000002</v>
      </c>
      <c r="J49" s="18">
        <f t="shared" si="1"/>
        <v>2.2171314741035855</v>
      </c>
      <c r="K49" s="18">
        <f t="shared" si="0"/>
        <v>7.3879918920808141</v>
      </c>
      <c r="L49" s="33">
        <v>600</v>
      </c>
      <c r="M49" s="1">
        <v>3</v>
      </c>
      <c r="N49" s="38">
        <v>45452</v>
      </c>
      <c r="O49" s="44">
        <v>2818</v>
      </c>
      <c r="P49" s="44">
        <v>4697</v>
      </c>
      <c r="Q49" s="65">
        <v>1.8740000000000001</v>
      </c>
      <c r="R49" s="69">
        <v>1441.3</v>
      </c>
      <c r="S49" s="74">
        <v>1407</v>
      </c>
      <c r="T49" s="49">
        <v>5500</v>
      </c>
      <c r="U49" s="56">
        <v>4.8899999999999997</v>
      </c>
      <c r="V49" s="56">
        <v>6</v>
      </c>
      <c r="W49" s="1">
        <v>3.9</v>
      </c>
      <c r="X49" s="28">
        <v>2.2999999999999998</v>
      </c>
      <c r="Y49" s="60">
        <v>14.9</v>
      </c>
      <c r="Z49" s="1">
        <v>74</v>
      </c>
      <c r="AA49" s="60">
        <v>1.2</v>
      </c>
      <c r="AB49" s="1">
        <v>94</v>
      </c>
      <c r="AC49" s="1">
        <v>53</v>
      </c>
      <c r="AD49" s="1">
        <v>38</v>
      </c>
      <c r="AE49" s="36">
        <v>5.8</v>
      </c>
    </row>
    <row r="50" spans="1:31" x14ac:dyDescent="0.2">
      <c r="A50" s="1">
        <v>5</v>
      </c>
      <c r="B50" s="1" t="s">
        <v>43</v>
      </c>
      <c r="C50" s="28">
        <v>2.3940000000000001</v>
      </c>
      <c r="D50" s="1">
        <v>12.5</v>
      </c>
      <c r="E50" s="5">
        <v>1</v>
      </c>
      <c r="F50" s="5">
        <v>4</v>
      </c>
      <c r="G50" s="14">
        <v>2.6974999999999998</v>
      </c>
      <c r="H50" s="9">
        <v>1.5085</v>
      </c>
      <c r="I50" s="15">
        <v>2.7240000000000002</v>
      </c>
      <c r="J50" s="19">
        <f t="shared" si="1"/>
        <v>2.2192513368983953</v>
      </c>
      <c r="K50" s="19">
        <f t="shared" si="0"/>
        <v>7.2994429031580932</v>
      </c>
      <c r="L50" s="41">
        <v>600</v>
      </c>
      <c r="M50" s="5">
        <v>4</v>
      </c>
      <c r="N50" s="42">
        <v>45452</v>
      </c>
      <c r="O50" s="47">
        <v>3126</v>
      </c>
      <c r="P50" s="47">
        <v>5203</v>
      </c>
      <c r="Q50" s="67">
        <v>1.915</v>
      </c>
      <c r="R50" s="71">
        <v>1481.3</v>
      </c>
      <c r="S50" s="75">
        <v>1561</v>
      </c>
      <c r="T50" s="51">
        <v>46250</v>
      </c>
      <c r="U50" s="58">
        <v>4.8899999999999997</v>
      </c>
      <c r="V50" s="58">
        <v>6</v>
      </c>
      <c r="W50" s="5">
        <v>3.9</v>
      </c>
      <c r="X50" s="53">
        <v>2.2999999999999998</v>
      </c>
      <c r="Y50" s="62">
        <v>14.9</v>
      </c>
      <c r="Z50" s="5">
        <v>74</v>
      </c>
      <c r="AA50" s="62">
        <v>1.2</v>
      </c>
      <c r="AB50" s="5">
        <v>94</v>
      </c>
      <c r="AC50" s="5">
        <v>53</v>
      </c>
      <c r="AD50" s="5">
        <v>38</v>
      </c>
      <c r="AE50" s="43">
        <v>5.8</v>
      </c>
    </row>
    <row r="51" spans="1:31" x14ac:dyDescent="0.2">
      <c r="A51" s="1">
        <v>5</v>
      </c>
      <c r="B51" s="1" t="s">
        <v>44</v>
      </c>
      <c r="C51" s="28">
        <v>2.3940000000000001</v>
      </c>
      <c r="D51" s="1">
        <v>12.5</v>
      </c>
      <c r="E51" s="26">
        <v>2</v>
      </c>
      <c r="F51" s="26">
        <v>0</v>
      </c>
      <c r="G51" s="21">
        <v>24.1282</v>
      </c>
      <c r="H51" s="22">
        <v>13.532</v>
      </c>
      <c r="I51" s="23">
        <v>24.425000000000001</v>
      </c>
      <c r="J51" s="24">
        <f t="shared" si="1"/>
        <v>2.2150188194253189</v>
      </c>
      <c r="K51" s="24">
        <f t="shared" si="0"/>
        <v>7.476239790086936</v>
      </c>
      <c r="L51" s="33">
        <v>0</v>
      </c>
      <c r="Q51" s="65"/>
      <c r="R51" s="69"/>
      <c r="S51" s="74"/>
      <c r="T51" s="49"/>
      <c r="U51" s="56">
        <v>4.8899999999999997</v>
      </c>
      <c r="V51" s="56">
        <v>6</v>
      </c>
      <c r="W51" s="1">
        <v>3.9</v>
      </c>
      <c r="X51" s="28">
        <v>2.2999999999999998</v>
      </c>
      <c r="Y51" s="60">
        <v>14.9</v>
      </c>
      <c r="Z51" s="1">
        <v>74</v>
      </c>
      <c r="AA51" s="60">
        <v>1.2</v>
      </c>
      <c r="AB51" s="1">
        <v>94</v>
      </c>
      <c r="AC51" s="1">
        <v>53</v>
      </c>
      <c r="AD51" s="1">
        <v>38</v>
      </c>
      <c r="AE51" s="36">
        <v>5.8</v>
      </c>
    </row>
    <row r="52" spans="1:31" x14ac:dyDescent="0.2">
      <c r="A52" s="1">
        <v>5</v>
      </c>
      <c r="B52" s="1" t="s">
        <v>44</v>
      </c>
      <c r="C52" s="28">
        <v>2.3940000000000001</v>
      </c>
      <c r="D52" s="1">
        <v>12.5</v>
      </c>
      <c r="E52" s="1">
        <v>2</v>
      </c>
      <c r="F52" s="1">
        <v>1</v>
      </c>
      <c r="G52" s="11">
        <v>2.8454999999999999</v>
      </c>
      <c r="H52" s="12">
        <v>1.5874999999999999</v>
      </c>
      <c r="I52" s="13">
        <v>2.8654999999999999</v>
      </c>
      <c r="J52" s="18">
        <f t="shared" si="1"/>
        <v>2.226525821596244</v>
      </c>
      <c r="K52" s="18">
        <f t="shared" si="0"/>
        <v>6.9955797161134541</v>
      </c>
      <c r="L52" s="33">
        <v>400</v>
      </c>
      <c r="M52" s="1">
        <v>1</v>
      </c>
      <c r="N52" s="38">
        <v>45452</v>
      </c>
      <c r="O52" s="44">
        <v>2291</v>
      </c>
      <c r="P52" s="44">
        <v>5719</v>
      </c>
      <c r="Q52" s="65">
        <v>0.83899999999999997</v>
      </c>
      <c r="R52" s="69">
        <v>1168.4000000000001</v>
      </c>
      <c r="S52" s="74">
        <v>3163</v>
      </c>
      <c r="T52" s="49">
        <v>694350</v>
      </c>
      <c r="U52" s="56">
        <v>4.8899999999999997</v>
      </c>
      <c r="V52" s="56">
        <v>6</v>
      </c>
      <c r="W52" s="1">
        <v>3.9</v>
      </c>
      <c r="X52" s="28">
        <v>2.2999999999999998</v>
      </c>
      <c r="Y52" s="60">
        <v>14.9</v>
      </c>
      <c r="Z52" s="1">
        <v>74</v>
      </c>
      <c r="AA52" s="60">
        <v>1.2</v>
      </c>
      <c r="AB52" s="1">
        <v>94</v>
      </c>
      <c r="AC52" s="1">
        <v>53</v>
      </c>
      <c r="AD52" s="1">
        <v>38</v>
      </c>
      <c r="AE52" s="36">
        <v>5.8</v>
      </c>
    </row>
    <row r="53" spans="1:31" x14ac:dyDescent="0.2">
      <c r="A53" s="1">
        <v>5</v>
      </c>
      <c r="B53" s="1" t="s">
        <v>44</v>
      </c>
      <c r="C53" s="28">
        <v>2.3940000000000001</v>
      </c>
      <c r="D53" s="1">
        <v>12.5</v>
      </c>
      <c r="E53" s="1">
        <v>2</v>
      </c>
      <c r="F53" s="1">
        <v>2</v>
      </c>
      <c r="G53" s="11">
        <v>2.8285</v>
      </c>
      <c r="H53" s="12">
        <v>1.5765</v>
      </c>
      <c r="I53" s="13">
        <v>2.8530000000000002</v>
      </c>
      <c r="J53" s="18">
        <f t="shared" si="1"/>
        <v>2.2158245201723461</v>
      </c>
      <c r="K53" s="18">
        <f t="shared" si="0"/>
        <v>7.4425847881225522</v>
      </c>
      <c r="L53" s="33">
        <v>400</v>
      </c>
      <c r="M53" s="1">
        <v>2</v>
      </c>
      <c r="N53" s="38">
        <v>45453</v>
      </c>
      <c r="O53" s="44">
        <v>2383</v>
      </c>
      <c r="P53" s="44">
        <v>5958</v>
      </c>
      <c r="Q53" s="65">
        <v>0.84399999999999997</v>
      </c>
      <c r="R53" s="69">
        <v>1204.5</v>
      </c>
      <c r="S53" s="74">
        <v>1780</v>
      </c>
      <c r="T53" s="49">
        <v>675000</v>
      </c>
      <c r="U53" s="56">
        <v>4.8899999999999997</v>
      </c>
      <c r="V53" s="56">
        <v>6</v>
      </c>
      <c r="W53" s="1">
        <v>3.9</v>
      </c>
      <c r="X53" s="28">
        <v>2.2999999999999998</v>
      </c>
      <c r="Y53" s="60">
        <v>14.9</v>
      </c>
      <c r="Z53" s="1">
        <v>74</v>
      </c>
      <c r="AA53" s="60">
        <v>1.2</v>
      </c>
      <c r="AB53" s="1">
        <v>94</v>
      </c>
      <c r="AC53" s="1">
        <v>53</v>
      </c>
      <c r="AD53" s="1">
        <v>38</v>
      </c>
      <c r="AE53" s="36">
        <v>5.8</v>
      </c>
    </row>
    <row r="54" spans="1:31" x14ac:dyDescent="0.2">
      <c r="A54" s="1">
        <v>5</v>
      </c>
      <c r="B54" s="1" t="s">
        <v>44</v>
      </c>
      <c r="C54" s="28">
        <v>2.3940000000000001</v>
      </c>
      <c r="D54" s="1">
        <v>12.5</v>
      </c>
      <c r="E54" s="1">
        <v>2</v>
      </c>
      <c r="F54" s="1">
        <v>3</v>
      </c>
      <c r="G54" s="11">
        <v>2.8479999999999999</v>
      </c>
      <c r="H54" s="12">
        <v>1.5940000000000001</v>
      </c>
      <c r="I54" s="13">
        <v>2.87</v>
      </c>
      <c r="J54" s="18">
        <f t="shared" si="1"/>
        <v>2.2319749216300937</v>
      </c>
      <c r="K54" s="18">
        <f t="shared" si="0"/>
        <v>6.767964844189911</v>
      </c>
      <c r="L54" s="33">
        <v>400</v>
      </c>
      <c r="M54" s="1">
        <v>3</v>
      </c>
      <c r="N54" s="38">
        <v>45454</v>
      </c>
      <c r="O54" s="44">
        <v>2540</v>
      </c>
      <c r="P54" s="44">
        <v>6314</v>
      </c>
      <c r="Q54" s="65">
        <v>0.92500000000000004</v>
      </c>
      <c r="R54" s="69">
        <v>1275.4000000000001</v>
      </c>
      <c r="S54" s="74">
        <v>2769</v>
      </c>
      <c r="T54" s="49">
        <v>185000</v>
      </c>
      <c r="U54" s="56">
        <v>4.8899999999999997</v>
      </c>
      <c r="V54" s="56">
        <v>6</v>
      </c>
      <c r="W54" s="1">
        <v>3.9</v>
      </c>
      <c r="X54" s="28">
        <v>2.2999999999999998</v>
      </c>
      <c r="Y54" s="60">
        <v>14.9</v>
      </c>
      <c r="Z54" s="1">
        <v>74</v>
      </c>
      <c r="AA54" s="60">
        <v>1.2</v>
      </c>
      <c r="AB54" s="1">
        <v>94</v>
      </c>
      <c r="AC54" s="1">
        <v>53</v>
      </c>
      <c r="AD54" s="1">
        <v>38</v>
      </c>
      <c r="AE54" s="36">
        <v>5.8</v>
      </c>
    </row>
    <row r="55" spans="1:31" ht="16" thickBot="1" x14ac:dyDescent="0.25">
      <c r="A55" s="1">
        <v>5</v>
      </c>
      <c r="B55" s="1" t="s">
        <v>44</v>
      </c>
      <c r="C55" s="29">
        <v>2.3940000000000001</v>
      </c>
      <c r="D55" s="2">
        <v>12.5</v>
      </c>
      <c r="E55" s="2">
        <v>2</v>
      </c>
      <c r="F55" s="2">
        <v>4</v>
      </c>
      <c r="G55" s="16">
        <v>2.8</v>
      </c>
      <c r="H55" s="10">
        <v>1.5615000000000001</v>
      </c>
      <c r="I55" s="17">
        <v>2.82</v>
      </c>
      <c r="J55" s="20">
        <f t="shared" si="1"/>
        <v>2.2248708780294004</v>
      </c>
      <c r="K55" s="20">
        <f t="shared" si="0"/>
        <v>7.0647085200751807</v>
      </c>
      <c r="L55" s="34">
        <v>400</v>
      </c>
      <c r="M55" s="2">
        <v>4</v>
      </c>
      <c r="N55" s="39">
        <v>45454</v>
      </c>
      <c r="O55" s="46">
        <v>2469</v>
      </c>
      <c r="P55" s="46">
        <v>6173</v>
      </c>
      <c r="Q55" s="66">
        <v>0.877</v>
      </c>
      <c r="R55" s="70">
        <v>1200.5999999999999</v>
      </c>
      <c r="S55" s="76">
        <v>1851</v>
      </c>
      <c r="T55" s="50">
        <v>450000</v>
      </c>
      <c r="U55" s="57">
        <v>4.8899999999999997</v>
      </c>
      <c r="V55" s="57">
        <v>6</v>
      </c>
      <c r="W55" s="2">
        <v>3.9</v>
      </c>
      <c r="X55" s="29">
        <v>2.2999999999999998</v>
      </c>
      <c r="Y55" s="61">
        <v>14.9</v>
      </c>
      <c r="Z55" s="2">
        <v>74</v>
      </c>
      <c r="AA55" s="61">
        <v>1.2</v>
      </c>
      <c r="AB55" s="2">
        <v>94</v>
      </c>
      <c r="AC55" s="2">
        <v>53</v>
      </c>
      <c r="AD55" s="2">
        <v>38</v>
      </c>
      <c r="AE55" s="4">
        <v>5.8</v>
      </c>
    </row>
    <row r="56" spans="1:31" x14ac:dyDescent="0.2">
      <c r="A56" s="1">
        <v>6</v>
      </c>
      <c r="B56" s="1" t="s">
        <v>45</v>
      </c>
      <c r="C56" s="28">
        <v>2.39</v>
      </c>
      <c r="D56" s="1">
        <v>19</v>
      </c>
      <c r="E56" s="26">
        <v>1</v>
      </c>
      <c r="F56" s="26">
        <v>0</v>
      </c>
      <c r="G56" s="21">
        <v>24.475999999999999</v>
      </c>
      <c r="H56" s="22">
        <v>13.62</v>
      </c>
      <c r="I56" s="23">
        <v>24.7075</v>
      </c>
      <c r="J56" s="24">
        <f t="shared" si="1"/>
        <v>2.2075310033821869</v>
      </c>
      <c r="K56" s="24">
        <f t="shared" si="0"/>
        <v>7.6346860509545316</v>
      </c>
      <c r="L56" s="33">
        <v>0</v>
      </c>
      <c r="Q56" s="65"/>
      <c r="R56" s="69"/>
      <c r="S56" s="74"/>
      <c r="T56" s="49"/>
      <c r="U56" s="56">
        <v>4.9400000000000004</v>
      </c>
      <c r="V56" s="56">
        <v>5.96</v>
      </c>
      <c r="W56" s="1">
        <v>3.5</v>
      </c>
      <c r="X56" s="28">
        <v>2.3069999999999999</v>
      </c>
      <c r="Y56" s="60">
        <v>14.6</v>
      </c>
      <c r="Z56" s="1">
        <v>76</v>
      </c>
      <c r="AA56" s="60">
        <v>1.1000000000000001</v>
      </c>
      <c r="AB56" s="1">
        <v>87</v>
      </c>
      <c r="AC56" s="1">
        <v>47</v>
      </c>
      <c r="AD56" s="1">
        <v>33</v>
      </c>
      <c r="AE56" s="36">
        <v>5.4</v>
      </c>
    </row>
    <row r="57" spans="1:31" x14ac:dyDescent="0.2">
      <c r="A57" s="1">
        <v>6</v>
      </c>
      <c r="B57" s="1" t="s">
        <v>45</v>
      </c>
      <c r="C57" s="28">
        <v>2.39</v>
      </c>
      <c r="D57" s="1">
        <v>19</v>
      </c>
      <c r="E57" s="1">
        <v>1</v>
      </c>
      <c r="F57" s="1">
        <v>1</v>
      </c>
      <c r="G57" s="11">
        <v>2.7555000000000001</v>
      </c>
      <c r="H57" s="12">
        <v>1.5385</v>
      </c>
      <c r="I57" s="13">
        <v>2.7685</v>
      </c>
      <c r="J57" s="18">
        <f t="shared" si="1"/>
        <v>2.2402439024390244</v>
      </c>
      <c r="K57" s="18">
        <f t="shared" si="0"/>
        <v>6.2659455046433337</v>
      </c>
      <c r="L57" s="33">
        <v>600</v>
      </c>
      <c r="M57" s="1">
        <v>1</v>
      </c>
      <c r="N57" s="38">
        <v>45455</v>
      </c>
      <c r="O57" s="44">
        <v>0</v>
      </c>
      <c r="P57" s="44">
        <v>0</v>
      </c>
      <c r="Q57" s="65">
        <v>0</v>
      </c>
      <c r="R57" s="69">
        <v>66.599999999999994</v>
      </c>
      <c r="S57" s="74">
        <v>0</v>
      </c>
      <c r="T57" s="49">
        <v>36790</v>
      </c>
      <c r="U57" s="56">
        <v>4.9400000000000004</v>
      </c>
      <c r="V57" s="56">
        <v>5.96</v>
      </c>
      <c r="W57" s="1">
        <v>3.5</v>
      </c>
      <c r="X57" s="28">
        <v>2.3069999999999999</v>
      </c>
      <c r="Y57" s="60">
        <v>14.6</v>
      </c>
      <c r="Z57" s="1">
        <v>76</v>
      </c>
      <c r="AA57" s="60">
        <v>1.1000000000000001</v>
      </c>
      <c r="AB57" s="1">
        <v>87</v>
      </c>
      <c r="AC57" s="1">
        <v>47</v>
      </c>
      <c r="AD57" s="1">
        <v>33</v>
      </c>
      <c r="AE57" s="36">
        <v>5.4</v>
      </c>
    </row>
    <row r="58" spans="1:31" x14ac:dyDescent="0.2">
      <c r="A58" s="1">
        <v>6</v>
      </c>
      <c r="B58" s="1" t="s">
        <v>45</v>
      </c>
      <c r="C58" s="28">
        <v>2.39</v>
      </c>
      <c r="D58" s="1">
        <v>19</v>
      </c>
      <c r="E58" s="1">
        <v>1</v>
      </c>
      <c r="F58" s="1">
        <v>2</v>
      </c>
      <c r="G58" s="11">
        <v>2.7845</v>
      </c>
      <c r="H58" s="12">
        <v>1.5515000000000001</v>
      </c>
      <c r="I58" s="13">
        <v>2.7959999999999998</v>
      </c>
      <c r="J58" s="18">
        <f t="shared" si="1"/>
        <v>2.2374447569304947</v>
      </c>
      <c r="K58" s="18">
        <f t="shared" si="0"/>
        <v>6.3830645635776335</v>
      </c>
      <c r="L58" s="33">
        <v>600</v>
      </c>
      <c r="M58" s="1">
        <v>2</v>
      </c>
      <c r="N58" s="38">
        <v>45455</v>
      </c>
      <c r="O58" s="44">
        <v>3160</v>
      </c>
      <c r="P58" s="44">
        <v>5272</v>
      </c>
      <c r="Q58" s="65">
        <v>1.847</v>
      </c>
      <c r="R58" s="69">
        <v>1719.5</v>
      </c>
      <c r="S58" s="74">
        <v>3127</v>
      </c>
      <c r="T58" s="49">
        <v>38550</v>
      </c>
      <c r="U58" s="56">
        <v>4.9400000000000004</v>
      </c>
      <c r="V58" s="56">
        <v>5.96</v>
      </c>
      <c r="W58" s="1">
        <v>3.5</v>
      </c>
      <c r="X58" s="28">
        <v>2.3069999999999999</v>
      </c>
      <c r="Y58" s="60">
        <v>14.6</v>
      </c>
      <c r="Z58" s="1">
        <v>76</v>
      </c>
      <c r="AA58" s="60">
        <v>1.1000000000000001</v>
      </c>
      <c r="AB58" s="1">
        <v>87</v>
      </c>
      <c r="AC58" s="1">
        <v>47</v>
      </c>
      <c r="AD58" s="1">
        <v>33</v>
      </c>
      <c r="AE58" s="36">
        <v>5.4</v>
      </c>
    </row>
    <row r="59" spans="1:31" x14ac:dyDescent="0.2">
      <c r="A59" s="1">
        <v>6</v>
      </c>
      <c r="B59" s="1" t="s">
        <v>45</v>
      </c>
      <c r="C59" s="28">
        <v>2.39</v>
      </c>
      <c r="D59" s="1">
        <v>19</v>
      </c>
      <c r="E59" s="1">
        <v>1</v>
      </c>
      <c r="F59" s="1">
        <v>3</v>
      </c>
      <c r="G59" s="11">
        <v>2.7839999999999998</v>
      </c>
      <c r="H59" s="12">
        <v>1.554</v>
      </c>
      <c r="I59" s="13">
        <v>2.7985000000000002</v>
      </c>
      <c r="J59" s="18">
        <f t="shared" si="1"/>
        <v>2.2370429891522696</v>
      </c>
      <c r="K59" s="18">
        <f t="shared" si="0"/>
        <v>6.399874930867389</v>
      </c>
      <c r="L59" s="33">
        <v>600</v>
      </c>
      <c r="M59" s="1">
        <v>3</v>
      </c>
      <c r="N59" s="38">
        <v>45455</v>
      </c>
      <c r="O59" s="44">
        <v>3447</v>
      </c>
      <c r="P59" s="44">
        <v>5750</v>
      </c>
      <c r="Q59" s="65">
        <v>2.1</v>
      </c>
      <c r="R59" s="69">
        <v>1757.4</v>
      </c>
      <c r="S59" s="74">
        <v>3277</v>
      </c>
      <c r="T59" s="49">
        <v>32500</v>
      </c>
      <c r="U59" s="56">
        <v>4.9400000000000004</v>
      </c>
      <c r="V59" s="56">
        <v>5.96</v>
      </c>
      <c r="W59" s="1">
        <v>3.5</v>
      </c>
      <c r="X59" s="28">
        <v>2.3069999999999999</v>
      </c>
      <c r="Y59" s="60">
        <v>14.6</v>
      </c>
      <c r="Z59" s="1">
        <v>76</v>
      </c>
      <c r="AA59" s="60">
        <v>1.1000000000000001</v>
      </c>
      <c r="AB59" s="1">
        <v>87</v>
      </c>
      <c r="AC59" s="1">
        <v>47</v>
      </c>
      <c r="AD59" s="1">
        <v>33</v>
      </c>
      <c r="AE59" s="36">
        <v>5.4</v>
      </c>
    </row>
    <row r="60" spans="1:31" x14ac:dyDescent="0.2">
      <c r="A60" s="1">
        <v>6</v>
      </c>
      <c r="B60" s="1" t="s">
        <v>45</v>
      </c>
      <c r="C60" s="28">
        <v>2.39</v>
      </c>
      <c r="D60" s="1">
        <v>19</v>
      </c>
      <c r="E60" s="5">
        <v>1</v>
      </c>
      <c r="F60" s="5">
        <v>4</v>
      </c>
      <c r="G60" s="14">
        <v>2.7610000000000001</v>
      </c>
      <c r="H60" s="9">
        <v>1.5369999999999999</v>
      </c>
      <c r="I60" s="15">
        <v>2.7715000000000001</v>
      </c>
      <c r="J60" s="19">
        <f t="shared" si="1"/>
        <v>2.236533009315512</v>
      </c>
      <c r="K60" s="19">
        <f t="shared" si="0"/>
        <v>6.421212999350967</v>
      </c>
      <c r="L60" s="41">
        <v>600</v>
      </c>
      <c r="M60" s="5">
        <v>4</v>
      </c>
      <c r="N60" s="42">
        <v>45455</v>
      </c>
      <c r="O60" s="47">
        <v>2323</v>
      </c>
      <c r="P60" s="47">
        <v>3879</v>
      </c>
      <c r="Q60" s="67">
        <v>1.625</v>
      </c>
      <c r="R60" s="71">
        <v>1260</v>
      </c>
      <c r="S60" s="75">
        <v>1169</v>
      </c>
      <c r="T60" s="51">
        <f>35000+(5000*3/4)</f>
        <v>38750</v>
      </c>
      <c r="U60" s="58">
        <v>4.9400000000000004</v>
      </c>
      <c r="V60" s="58">
        <v>5.96</v>
      </c>
      <c r="W60" s="5">
        <v>3.5</v>
      </c>
      <c r="X60" s="53">
        <v>2.3069999999999999</v>
      </c>
      <c r="Y60" s="62">
        <v>14.6</v>
      </c>
      <c r="Z60" s="5">
        <v>76</v>
      </c>
      <c r="AA60" s="62">
        <v>1.1000000000000001</v>
      </c>
      <c r="AB60" s="5">
        <v>87</v>
      </c>
      <c r="AC60" s="5">
        <v>47</v>
      </c>
      <c r="AD60" s="5">
        <v>33</v>
      </c>
      <c r="AE60" s="43">
        <v>5.4</v>
      </c>
    </row>
    <row r="61" spans="1:31" x14ac:dyDescent="0.2">
      <c r="A61" s="1">
        <v>6</v>
      </c>
      <c r="B61" s="1" t="s">
        <v>46</v>
      </c>
      <c r="C61" s="28">
        <v>2.39</v>
      </c>
      <c r="D61" s="1">
        <v>19</v>
      </c>
      <c r="E61" s="26">
        <v>2</v>
      </c>
      <c r="F61" s="26">
        <v>0</v>
      </c>
      <c r="G61" s="21">
        <v>24.117000000000001</v>
      </c>
      <c r="H61" s="22">
        <v>13.532</v>
      </c>
      <c r="I61" s="23">
        <v>24.414999999999999</v>
      </c>
      <c r="J61" s="24">
        <f t="shared" si="1"/>
        <v>2.2160249931085181</v>
      </c>
      <c r="K61" s="24">
        <f t="shared" si="0"/>
        <v>7.2792889912754006</v>
      </c>
      <c r="L61" s="33">
        <v>0</v>
      </c>
      <c r="Q61" s="65"/>
      <c r="R61" s="69"/>
      <c r="S61" s="74"/>
      <c r="T61" s="49"/>
      <c r="U61" s="56">
        <v>4.9400000000000004</v>
      </c>
      <c r="V61" s="56">
        <v>5.96</v>
      </c>
      <c r="W61" s="1">
        <v>3.5</v>
      </c>
      <c r="X61" s="28">
        <v>2.3069999999999999</v>
      </c>
      <c r="Y61" s="60">
        <v>14.6</v>
      </c>
      <c r="Z61" s="1">
        <v>76</v>
      </c>
      <c r="AA61" s="60">
        <v>1.1000000000000001</v>
      </c>
      <c r="AB61" s="1">
        <v>87</v>
      </c>
      <c r="AC61" s="1">
        <v>47</v>
      </c>
      <c r="AD61" s="1">
        <v>33</v>
      </c>
      <c r="AE61" s="36">
        <v>5.4</v>
      </c>
    </row>
    <row r="62" spans="1:31" x14ac:dyDescent="0.2">
      <c r="A62" s="1">
        <v>6</v>
      </c>
      <c r="B62" s="1" t="s">
        <v>46</v>
      </c>
      <c r="C62" s="28">
        <v>2.39</v>
      </c>
      <c r="D62" s="1">
        <v>19</v>
      </c>
      <c r="E62" s="1">
        <v>2</v>
      </c>
      <c r="F62" s="1">
        <v>1</v>
      </c>
      <c r="G62" s="11">
        <v>2.7825000000000002</v>
      </c>
      <c r="H62" s="12">
        <v>1.5535000000000001</v>
      </c>
      <c r="I62" s="13">
        <v>2.7934999999999999</v>
      </c>
      <c r="J62" s="18">
        <f t="shared" si="1"/>
        <v>2.2439516129032264</v>
      </c>
      <c r="K62" s="18">
        <f t="shared" si="0"/>
        <v>6.110811175597231</v>
      </c>
      <c r="L62" s="33">
        <v>400</v>
      </c>
      <c r="M62" s="1">
        <v>1</v>
      </c>
      <c r="N62" s="38">
        <v>45455</v>
      </c>
      <c r="O62" s="44">
        <v>2406</v>
      </c>
      <c r="P62" s="44">
        <v>6023</v>
      </c>
      <c r="Q62" s="65">
        <v>0.93</v>
      </c>
      <c r="R62" s="69">
        <v>1196.9000000000001</v>
      </c>
      <c r="S62" s="74">
        <v>3637</v>
      </c>
      <c r="T62" s="49">
        <v>600840</v>
      </c>
      <c r="U62" s="56">
        <v>4.9400000000000004</v>
      </c>
      <c r="V62" s="56">
        <v>5.96</v>
      </c>
      <c r="W62" s="1">
        <v>3.5</v>
      </c>
      <c r="X62" s="28">
        <v>2.3069999999999999</v>
      </c>
      <c r="Y62" s="60">
        <v>14.6</v>
      </c>
      <c r="Z62" s="1">
        <v>76</v>
      </c>
      <c r="AA62" s="60">
        <v>1.1000000000000001</v>
      </c>
      <c r="AB62" s="1">
        <v>87</v>
      </c>
      <c r="AC62" s="1">
        <v>47</v>
      </c>
      <c r="AD62" s="1">
        <v>33</v>
      </c>
      <c r="AE62" s="36">
        <v>5.4</v>
      </c>
    </row>
    <row r="63" spans="1:31" x14ac:dyDescent="0.2">
      <c r="A63" s="1">
        <v>6</v>
      </c>
      <c r="B63" s="1" t="s">
        <v>46</v>
      </c>
      <c r="C63" s="28">
        <v>2.39</v>
      </c>
      <c r="D63" s="1">
        <v>19</v>
      </c>
      <c r="E63" s="1">
        <v>2</v>
      </c>
      <c r="F63" s="1">
        <v>2</v>
      </c>
      <c r="G63" s="11">
        <v>2.5695000000000001</v>
      </c>
      <c r="H63" s="12">
        <v>1.4259999999999999</v>
      </c>
      <c r="I63" s="13">
        <v>2.5794999999999999</v>
      </c>
      <c r="J63" s="18">
        <f t="shared" si="1"/>
        <v>2.2275682704811444</v>
      </c>
      <c r="K63" s="18">
        <f t="shared" si="0"/>
        <v>6.7963066744291094</v>
      </c>
      <c r="L63" s="33">
        <v>400</v>
      </c>
      <c r="M63" s="1">
        <v>2</v>
      </c>
      <c r="N63" s="38">
        <v>45460</v>
      </c>
      <c r="O63" s="44">
        <v>1591</v>
      </c>
      <c r="P63" s="44">
        <v>3984</v>
      </c>
      <c r="Q63" s="65">
        <v>0.79800000000000004</v>
      </c>
      <c r="R63" s="69">
        <v>737.1</v>
      </c>
      <c r="S63" s="74">
        <v>1194</v>
      </c>
      <c r="T63" s="49">
        <v>294830</v>
      </c>
      <c r="U63" s="56">
        <v>4.9400000000000004</v>
      </c>
      <c r="V63" s="56">
        <v>5.96</v>
      </c>
      <c r="W63" s="1">
        <v>3.5</v>
      </c>
      <c r="X63" s="28">
        <v>2.3069999999999999</v>
      </c>
      <c r="Y63" s="60">
        <v>14.6</v>
      </c>
      <c r="Z63" s="1">
        <v>76</v>
      </c>
      <c r="AA63" s="60">
        <v>1.1000000000000001</v>
      </c>
      <c r="AB63" s="1">
        <v>87</v>
      </c>
      <c r="AC63" s="1">
        <v>47</v>
      </c>
      <c r="AD63" s="1">
        <v>33</v>
      </c>
      <c r="AE63" s="36">
        <v>5.4</v>
      </c>
    </row>
    <row r="64" spans="1:31" x14ac:dyDescent="0.2">
      <c r="A64" s="1">
        <v>6</v>
      </c>
      <c r="B64" s="1" t="s">
        <v>46</v>
      </c>
      <c r="C64" s="28">
        <v>2.39</v>
      </c>
      <c r="D64" s="1">
        <v>19</v>
      </c>
      <c r="E64" s="1">
        <v>2</v>
      </c>
      <c r="F64" s="1">
        <v>3</v>
      </c>
      <c r="G64" s="11">
        <v>2.6615000000000002</v>
      </c>
      <c r="H64" s="12">
        <v>1.4804999999999999</v>
      </c>
      <c r="I64" s="13">
        <v>2.6735000000000002</v>
      </c>
      <c r="J64" s="18">
        <f t="shared" si="1"/>
        <v>2.2309304274937132</v>
      </c>
      <c r="K64" s="18">
        <f t="shared" si="0"/>
        <v>6.6556306487986161</v>
      </c>
      <c r="L64" s="33">
        <v>400</v>
      </c>
      <c r="M64" s="1">
        <v>3</v>
      </c>
      <c r="N64" s="38">
        <v>45462</v>
      </c>
      <c r="O64" s="44">
        <v>1681</v>
      </c>
      <c r="P64" s="44">
        <v>4189</v>
      </c>
      <c r="Q64" s="65">
        <v>0.82599999999999996</v>
      </c>
      <c r="R64" s="69">
        <v>799.1</v>
      </c>
      <c r="S64" s="74">
        <v>1254</v>
      </c>
      <c r="T64" s="49">
        <v>274650</v>
      </c>
      <c r="U64" s="56">
        <v>4.9400000000000004</v>
      </c>
      <c r="V64" s="56">
        <v>5.96</v>
      </c>
      <c r="W64" s="1">
        <v>3.5</v>
      </c>
      <c r="X64" s="28">
        <v>2.3069999999999999</v>
      </c>
      <c r="Y64" s="60">
        <v>14.6</v>
      </c>
      <c r="Z64" s="1">
        <v>76</v>
      </c>
      <c r="AA64" s="60">
        <v>1.1000000000000001</v>
      </c>
      <c r="AB64" s="1">
        <v>87</v>
      </c>
      <c r="AC64" s="1">
        <v>47</v>
      </c>
      <c r="AD64" s="1">
        <v>33</v>
      </c>
      <c r="AE64" s="36">
        <v>5.4</v>
      </c>
    </row>
    <row r="65" spans="1:31" ht="16" thickBot="1" x14ac:dyDescent="0.25">
      <c r="A65" s="1">
        <v>6</v>
      </c>
      <c r="B65" s="1" t="s">
        <v>46</v>
      </c>
      <c r="C65" s="29">
        <v>2.39</v>
      </c>
      <c r="D65" s="2">
        <v>19</v>
      </c>
      <c r="E65" s="2">
        <v>2</v>
      </c>
      <c r="F65" s="2">
        <v>4</v>
      </c>
      <c r="G65" s="16">
        <v>2.6985000000000001</v>
      </c>
      <c r="H65" s="10">
        <v>1.4970000000000001</v>
      </c>
      <c r="I65" s="17">
        <v>2.7115</v>
      </c>
      <c r="J65" s="20">
        <f t="shared" si="1"/>
        <v>2.2219020172910664</v>
      </c>
      <c r="K65" s="20">
        <f t="shared" si="0"/>
        <v>7.0333883978633382</v>
      </c>
      <c r="L65" s="34"/>
      <c r="M65" s="2"/>
      <c r="N65" s="39"/>
      <c r="O65" s="46"/>
      <c r="P65" s="46"/>
      <c r="Q65" s="66"/>
      <c r="R65" s="70"/>
      <c r="S65" s="76"/>
      <c r="T65" s="50"/>
      <c r="U65" s="57">
        <v>4.9400000000000004</v>
      </c>
      <c r="V65" s="57">
        <v>5.96</v>
      </c>
      <c r="W65" s="2">
        <v>3.5</v>
      </c>
      <c r="X65" s="29">
        <v>2.3069999999999999</v>
      </c>
      <c r="Y65" s="61">
        <v>14.6</v>
      </c>
      <c r="Z65" s="2">
        <v>76</v>
      </c>
      <c r="AA65" s="61">
        <v>1.1000000000000001</v>
      </c>
      <c r="AB65" s="2">
        <v>87</v>
      </c>
      <c r="AC65" s="2">
        <v>47</v>
      </c>
      <c r="AD65" s="2">
        <v>33</v>
      </c>
      <c r="AE65" s="4">
        <v>5.4</v>
      </c>
    </row>
    <row r="66" spans="1:31" x14ac:dyDescent="0.2">
      <c r="A66" s="1">
        <v>7</v>
      </c>
      <c r="B66" s="1" t="s">
        <v>47</v>
      </c>
      <c r="C66" s="28">
        <v>2.38</v>
      </c>
      <c r="D66" s="1">
        <v>12.5</v>
      </c>
      <c r="E66" s="26">
        <v>1</v>
      </c>
      <c r="F66" s="26">
        <v>0</v>
      </c>
      <c r="G66" s="21">
        <v>24.364999999999998</v>
      </c>
      <c r="H66" s="22">
        <v>13.564</v>
      </c>
      <c r="I66" s="23">
        <v>24.574999999999999</v>
      </c>
      <c r="J66" s="24">
        <f t="shared" si="1"/>
        <v>2.2127872127872128</v>
      </c>
      <c r="K66" s="24">
        <f t="shared" si="0"/>
        <v>7.0257473618818072</v>
      </c>
      <c r="L66" s="33">
        <v>0</v>
      </c>
      <c r="Q66" s="65"/>
      <c r="R66" s="69"/>
      <c r="S66" s="74"/>
      <c r="T66" s="49"/>
      <c r="U66" s="56">
        <v>5.05</v>
      </c>
      <c r="V66" s="56">
        <v>5.9</v>
      </c>
      <c r="W66" s="1">
        <v>3.1</v>
      </c>
      <c r="X66" s="28">
        <v>2.306</v>
      </c>
      <c r="Y66" s="60">
        <v>14.5</v>
      </c>
      <c r="Z66" s="1">
        <v>78</v>
      </c>
      <c r="AA66" s="60">
        <v>1.2</v>
      </c>
      <c r="AB66" s="1">
        <v>92</v>
      </c>
      <c r="AC66" s="1">
        <v>55</v>
      </c>
      <c r="AD66" s="1">
        <v>38</v>
      </c>
      <c r="AE66" s="36">
        <v>5.8</v>
      </c>
    </row>
    <row r="67" spans="1:31" x14ac:dyDescent="0.2">
      <c r="A67" s="1">
        <v>7</v>
      </c>
      <c r="B67" s="1" t="s">
        <v>47</v>
      </c>
      <c r="C67" s="28">
        <v>2.38</v>
      </c>
      <c r="D67" s="1">
        <v>12.5</v>
      </c>
      <c r="E67" s="1">
        <v>1</v>
      </c>
      <c r="F67" s="1">
        <v>1</v>
      </c>
      <c r="G67" s="11">
        <v>2.798</v>
      </c>
      <c r="H67" s="12">
        <v>1.5694999999999999</v>
      </c>
      <c r="I67" s="13">
        <v>2.827</v>
      </c>
      <c r="J67" s="18">
        <f t="shared" si="1"/>
        <v>2.2250497017892643</v>
      </c>
      <c r="K67" s="18">
        <f t="shared" si="0"/>
        <v>6.5105167315435146</v>
      </c>
      <c r="L67" s="33">
        <v>600</v>
      </c>
      <c r="M67" s="1">
        <v>1</v>
      </c>
      <c r="N67" s="38">
        <v>45465</v>
      </c>
      <c r="O67" s="44">
        <v>3699</v>
      </c>
      <c r="P67" s="44">
        <v>6176</v>
      </c>
      <c r="Q67" s="65">
        <v>1.9279999999999999</v>
      </c>
      <c r="R67" s="69">
        <v>1926.2</v>
      </c>
      <c r="S67" s="74">
        <v>3420</v>
      </c>
      <c r="T67" s="49">
        <v>31620</v>
      </c>
      <c r="U67" s="56">
        <v>5.05</v>
      </c>
      <c r="V67" s="56">
        <v>5.9</v>
      </c>
      <c r="W67" s="1">
        <v>3.1</v>
      </c>
      <c r="X67" s="28">
        <v>2.306</v>
      </c>
      <c r="Y67" s="60">
        <v>14.5</v>
      </c>
      <c r="Z67" s="1">
        <v>78</v>
      </c>
      <c r="AA67" s="60">
        <v>1.2</v>
      </c>
      <c r="AB67" s="1">
        <v>92</v>
      </c>
      <c r="AC67" s="1">
        <v>55</v>
      </c>
      <c r="AD67" s="1">
        <v>38</v>
      </c>
      <c r="AE67" s="36">
        <v>5.8</v>
      </c>
    </row>
    <row r="68" spans="1:31" x14ac:dyDescent="0.2">
      <c r="A68" s="1">
        <v>7</v>
      </c>
      <c r="B68" s="1" t="s">
        <v>47</v>
      </c>
      <c r="C68" s="28">
        <v>2.38</v>
      </c>
      <c r="D68" s="1">
        <v>12.5</v>
      </c>
      <c r="E68" s="1">
        <v>1</v>
      </c>
      <c r="F68" s="1">
        <v>2</v>
      </c>
      <c r="G68" s="11">
        <v>2.7069999999999999</v>
      </c>
      <c r="H68" s="12">
        <v>1.5105</v>
      </c>
      <c r="I68" s="13">
        <v>2.7305000000000001</v>
      </c>
      <c r="J68" s="18">
        <f t="shared" si="1"/>
        <v>2.2188524590163929</v>
      </c>
      <c r="K68" s="18">
        <f t="shared" si="0"/>
        <v>6.7709050833448252</v>
      </c>
      <c r="L68" s="33">
        <v>600</v>
      </c>
      <c r="M68" s="1">
        <v>2</v>
      </c>
      <c r="N68" s="38">
        <v>45465</v>
      </c>
      <c r="O68" s="44">
        <v>3474</v>
      </c>
      <c r="P68" s="44">
        <v>5802</v>
      </c>
      <c r="Q68" s="65">
        <v>1.948</v>
      </c>
      <c r="R68" s="69">
        <v>1719.6</v>
      </c>
      <c r="S68" s="74">
        <v>3471</v>
      </c>
      <c r="T68" s="49">
        <v>32630</v>
      </c>
      <c r="U68" s="56">
        <v>5.05</v>
      </c>
      <c r="V68" s="56">
        <v>5.9</v>
      </c>
      <c r="W68" s="1">
        <v>3.1</v>
      </c>
      <c r="X68" s="28">
        <v>2.306</v>
      </c>
      <c r="Y68" s="60">
        <v>14.5</v>
      </c>
      <c r="Z68" s="1">
        <v>78</v>
      </c>
      <c r="AA68" s="60">
        <v>1.2</v>
      </c>
      <c r="AB68" s="1">
        <v>92</v>
      </c>
      <c r="AC68" s="1">
        <v>55</v>
      </c>
      <c r="AD68" s="1">
        <v>38</v>
      </c>
      <c r="AE68" s="36">
        <v>5.8</v>
      </c>
    </row>
    <row r="69" spans="1:31" x14ac:dyDescent="0.2">
      <c r="A69" s="1">
        <v>7</v>
      </c>
      <c r="B69" s="1" t="s">
        <v>47</v>
      </c>
      <c r="C69" s="28">
        <v>2.38</v>
      </c>
      <c r="D69" s="1">
        <v>12.5</v>
      </c>
      <c r="E69" s="1">
        <v>1</v>
      </c>
      <c r="F69" s="1">
        <v>3</v>
      </c>
      <c r="G69" s="11">
        <v>2.7789999999999999</v>
      </c>
      <c r="H69" s="12">
        <v>1.5509999999999999</v>
      </c>
      <c r="I69" s="13">
        <v>2.8109999999999999</v>
      </c>
      <c r="J69" s="18">
        <f t="shared" si="1"/>
        <v>2.2055555555555553</v>
      </c>
      <c r="K69" s="18">
        <f t="shared" si="0"/>
        <v>7.329598506069102</v>
      </c>
      <c r="L69" s="33">
        <v>600</v>
      </c>
      <c r="M69" s="1">
        <v>3</v>
      </c>
      <c r="N69" s="38">
        <v>45465</v>
      </c>
      <c r="O69" s="44">
        <v>3247</v>
      </c>
      <c r="P69" s="44">
        <v>5424</v>
      </c>
      <c r="Q69" s="65">
        <v>1.796</v>
      </c>
      <c r="R69" s="69">
        <v>1671</v>
      </c>
      <c r="S69" s="74">
        <v>2515</v>
      </c>
      <c r="T69" s="49">
        <v>56560</v>
      </c>
      <c r="U69" s="56">
        <v>5.05</v>
      </c>
      <c r="V69" s="56">
        <v>5.9</v>
      </c>
      <c r="W69" s="1">
        <v>3.1</v>
      </c>
      <c r="X69" s="28">
        <v>2.306</v>
      </c>
      <c r="Y69" s="60">
        <v>14.5</v>
      </c>
      <c r="Z69" s="1">
        <v>78</v>
      </c>
      <c r="AA69" s="60">
        <v>1.2</v>
      </c>
      <c r="AB69" s="1">
        <v>92</v>
      </c>
      <c r="AC69" s="1">
        <v>55</v>
      </c>
      <c r="AD69" s="1">
        <v>38</v>
      </c>
      <c r="AE69" s="36">
        <v>5.8</v>
      </c>
    </row>
    <row r="70" spans="1:31" x14ac:dyDescent="0.2">
      <c r="A70" s="1">
        <v>7</v>
      </c>
      <c r="B70" s="1" t="s">
        <v>47</v>
      </c>
      <c r="C70" s="28">
        <v>2.38</v>
      </c>
      <c r="D70" s="1">
        <v>12.5</v>
      </c>
      <c r="E70" s="5">
        <v>1</v>
      </c>
      <c r="F70" s="5">
        <v>4</v>
      </c>
      <c r="G70" s="14">
        <v>2.8085</v>
      </c>
      <c r="H70" s="9">
        <v>1.5545</v>
      </c>
      <c r="I70" s="15">
        <v>2.8210000000000002</v>
      </c>
      <c r="J70" s="19">
        <f t="shared" si="1"/>
        <v>2.2175286221871295</v>
      </c>
      <c r="K70" s="19">
        <f t="shared" ref="K70:K133" si="2">+IF(G70=0,"",(1-(J70/C70))*100)</f>
        <v>6.8265284795323673</v>
      </c>
      <c r="L70" s="41">
        <v>400</v>
      </c>
      <c r="M70" s="5">
        <v>4</v>
      </c>
      <c r="N70" s="42">
        <v>45465</v>
      </c>
      <c r="O70" s="47">
        <v>2464</v>
      </c>
      <c r="P70" s="47">
        <v>6160</v>
      </c>
      <c r="Q70" s="67">
        <v>0.80900000000000005</v>
      </c>
      <c r="R70" s="71">
        <v>1274.8</v>
      </c>
      <c r="S70" s="75">
        <v>2918</v>
      </c>
      <c r="T70" s="51">
        <v>577510</v>
      </c>
      <c r="U70" s="58">
        <v>5.05</v>
      </c>
      <c r="V70" s="58">
        <v>5.9</v>
      </c>
      <c r="W70" s="5">
        <v>3.1</v>
      </c>
      <c r="X70" s="53">
        <v>2.306</v>
      </c>
      <c r="Y70" s="62">
        <v>14.5</v>
      </c>
      <c r="Z70" s="5">
        <v>78</v>
      </c>
      <c r="AA70" s="62">
        <v>1.2</v>
      </c>
      <c r="AB70" s="5">
        <v>92</v>
      </c>
      <c r="AC70" s="5">
        <v>55</v>
      </c>
      <c r="AD70" s="5">
        <v>38</v>
      </c>
      <c r="AE70" s="43">
        <v>5.8</v>
      </c>
    </row>
    <row r="71" spans="1:31" x14ac:dyDescent="0.2">
      <c r="A71" s="1">
        <v>7</v>
      </c>
      <c r="B71" s="1" t="s">
        <v>48</v>
      </c>
      <c r="C71" s="28">
        <v>2.38</v>
      </c>
      <c r="D71" s="1">
        <v>12.5</v>
      </c>
      <c r="E71" s="26">
        <v>2</v>
      </c>
      <c r="F71" s="26">
        <v>0</v>
      </c>
      <c r="G71" s="21">
        <v>24.490500000000001</v>
      </c>
      <c r="H71" s="22">
        <v>13.6075</v>
      </c>
      <c r="I71" s="23">
        <v>24.608899999999998</v>
      </c>
      <c r="J71" s="24">
        <f t="shared" si="1"/>
        <v>2.2261257658116245</v>
      </c>
      <c r="K71" s="24">
        <f t="shared" si="2"/>
        <v>6.4653039574947613</v>
      </c>
      <c r="L71" s="33">
        <v>0</v>
      </c>
      <c r="Q71" s="65"/>
      <c r="R71" s="69"/>
      <c r="S71" s="74"/>
      <c r="T71" s="49"/>
      <c r="U71" s="56">
        <v>5.05</v>
      </c>
      <c r="V71" s="56">
        <v>5.9</v>
      </c>
      <c r="W71" s="1">
        <v>3.1</v>
      </c>
      <c r="X71" s="28">
        <v>2.306</v>
      </c>
      <c r="Y71" s="60">
        <v>14.5</v>
      </c>
      <c r="Z71" s="1">
        <v>78</v>
      </c>
      <c r="AA71" s="60">
        <v>1.2</v>
      </c>
      <c r="AB71" s="1">
        <v>92</v>
      </c>
      <c r="AC71" s="1">
        <v>55</v>
      </c>
      <c r="AD71" s="1">
        <v>38</v>
      </c>
      <c r="AE71" s="36">
        <v>5.8</v>
      </c>
    </row>
    <row r="72" spans="1:31" x14ac:dyDescent="0.2">
      <c r="A72" s="1">
        <v>7</v>
      </c>
      <c r="B72" s="1" t="s">
        <v>48</v>
      </c>
      <c r="C72" s="28">
        <v>2.38</v>
      </c>
      <c r="D72" s="1">
        <v>12.5</v>
      </c>
      <c r="E72" s="1">
        <v>2</v>
      </c>
      <c r="F72" s="1">
        <v>1</v>
      </c>
      <c r="G72" s="11">
        <v>2.7770000000000001</v>
      </c>
      <c r="H72" s="12">
        <v>1.5595000000000001</v>
      </c>
      <c r="I72" s="13">
        <v>2.806</v>
      </c>
      <c r="J72" s="18">
        <f t="shared" ref="J72:J135" si="3">+IF(G72=0,"",G72/(I72-H72))</f>
        <v>2.2278379462494988</v>
      </c>
      <c r="K72" s="18">
        <f t="shared" si="2"/>
        <v>6.3933636029622321</v>
      </c>
      <c r="L72" s="33">
        <v>400</v>
      </c>
      <c r="M72" s="1">
        <v>1</v>
      </c>
      <c r="N72" s="38">
        <v>45466</v>
      </c>
      <c r="O72" s="44">
        <v>2154</v>
      </c>
      <c r="P72" s="44">
        <v>5375</v>
      </c>
      <c r="Q72" s="65">
        <v>0.72299999999999998</v>
      </c>
      <c r="R72" s="69">
        <v>1166.0999999999999</v>
      </c>
      <c r="S72" s="74">
        <v>3334</v>
      </c>
      <c r="T72" s="49">
        <v>321790</v>
      </c>
      <c r="U72" s="56">
        <v>5.05</v>
      </c>
      <c r="V72" s="56">
        <v>5.9</v>
      </c>
      <c r="W72" s="1">
        <v>3.1</v>
      </c>
      <c r="X72" s="28">
        <v>2.306</v>
      </c>
      <c r="Y72" s="60">
        <v>14.5</v>
      </c>
      <c r="Z72" s="1">
        <v>78</v>
      </c>
      <c r="AA72" s="60">
        <v>1.2</v>
      </c>
      <c r="AB72" s="1">
        <v>92</v>
      </c>
      <c r="AC72" s="1">
        <v>55</v>
      </c>
      <c r="AD72" s="1">
        <v>38</v>
      </c>
      <c r="AE72" s="36">
        <v>5.8</v>
      </c>
    </row>
    <row r="73" spans="1:31" x14ac:dyDescent="0.2">
      <c r="A73" s="1">
        <v>7</v>
      </c>
      <c r="B73" s="1" t="s">
        <v>48</v>
      </c>
      <c r="C73" s="28">
        <v>2.38</v>
      </c>
      <c r="D73" s="1">
        <v>12.5</v>
      </c>
      <c r="E73" s="1">
        <v>2</v>
      </c>
      <c r="F73" s="1">
        <v>2</v>
      </c>
      <c r="G73" s="11">
        <v>2.7469999999999999</v>
      </c>
      <c r="H73" s="12">
        <v>1.5409999999999999</v>
      </c>
      <c r="I73" s="13">
        <v>2.7845</v>
      </c>
      <c r="J73" s="18">
        <f t="shared" si="3"/>
        <v>2.2090872537193404</v>
      </c>
      <c r="K73" s="18">
        <f t="shared" si="2"/>
        <v>7.1812078269184676</v>
      </c>
      <c r="L73" s="33">
        <v>400</v>
      </c>
      <c r="M73" s="1">
        <v>2</v>
      </c>
      <c r="N73" s="38">
        <v>45466</v>
      </c>
      <c r="O73" s="44">
        <v>2194</v>
      </c>
      <c r="P73" s="44">
        <v>5484</v>
      </c>
      <c r="Q73" s="65">
        <v>0.79300000000000004</v>
      </c>
      <c r="R73" s="69">
        <v>1121.0999999999999</v>
      </c>
      <c r="S73" s="74">
        <v>3001</v>
      </c>
      <c r="T73" s="49">
        <v>553670</v>
      </c>
      <c r="U73" s="56">
        <v>5.05</v>
      </c>
      <c r="V73" s="56">
        <v>5.9</v>
      </c>
      <c r="W73" s="1">
        <v>3.1</v>
      </c>
      <c r="X73" s="28">
        <v>2.306</v>
      </c>
      <c r="Y73" s="60">
        <v>14.5</v>
      </c>
      <c r="Z73" s="1">
        <v>78</v>
      </c>
      <c r="AA73" s="60">
        <v>1.2</v>
      </c>
      <c r="AB73" s="1">
        <v>92</v>
      </c>
      <c r="AC73" s="1">
        <v>55</v>
      </c>
      <c r="AD73" s="1">
        <v>38</v>
      </c>
      <c r="AE73" s="36">
        <v>5.8</v>
      </c>
    </row>
    <row r="74" spans="1:31" x14ac:dyDescent="0.2">
      <c r="A74" s="1">
        <v>7</v>
      </c>
      <c r="B74" s="1" t="s">
        <v>48</v>
      </c>
      <c r="C74" s="28">
        <v>2.38</v>
      </c>
      <c r="D74" s="1">
        <v>12.5</v>
      </c>
      <c r="E74" s="1">
        <v>2</v>
      </c>
      <c r="F74" s="1">
        <v>3</v>
      </c>
      <c r="G74" s="11">
        <v>2.8105000000000002</v>
      </c>
      <c r="H74" s="12">
        <v>1.5674999999999999</v>
      </c>
      <c r="I74" s="13">
        <v>2.8294999999999999</v>
      </c>
      <c r="J74" s="18">
        <f t="shared" si="3"/>
        <v>2.2270206022187007</v>
      </c>
      <c r="K74" s="18">
        <f t="shared" si="2"/>
        <v>6.4277057891302221</v>
      </c>
      <c r="L74" s="33"/>
      <c r="Q74" s="65"/>
      <c r="R74" s="69"/>
      <c r="S74" s="74"/>
      <c r="T74" s="49"/>
      <c r="U74" s="56">
        <v>5.05</v>
      </c>
      <c r="V74" s="56">
        <v>5.9</v>
      </c>
      <c r="W74" s="1">
        <v>3.1</v>
      </c>
      <c r="X74" s="28">
        <v>2.306</v>
      </c>
      <c r="Y74" s="60">
        <v>14.5</v>
      </c>
      <c r="Z74" s="1">
        <v>78</v>
      </c>
      <c r="AA74" s="60">
        <v>1.2</v>
      </c>
      <c r="AB74" s="1">
        <v>92</v>
      </c>
      <c r="AC74" s="1">
        <v>55</v>
      </c>
      <c r="AD74" s="1">
        <v>38</v>
      </c>
      <c r="AE74" s="36">
        <v>5.8</v>
      </c>
    </row>
    <row r="75" spans="1:31" ht="16" thickBot="1" x14ac:dyDescent="0.25">
      <c r="A75" s="1">
        <v>7</v>
      </c>
      <c r="B75" s="1" t="s">
        <v>48</v>
      </c>
      <c r="C75" s="29">
        <v>2.38</v>
      </c>
      <c r="D75" s="2">
        <v>12.5</v>
      </c>
      <c r="E75" s="2">
        <v>2</v>
      </c>
      <c r="F75" s="2">
        <v>4</v>
      </c>
      <c r="G75" s="16">
        <v>2.7694999999999999</v>
      </c>
      <c r="H75" s="10">
        <v>1.5455000000000001</v>
      </c>
      <c r="I75" s="17">
        <v>2.7919999999999998</v>
      </c>
      <c r="J75" s="20">
        <f t="shared" si="3"/>
        <v>2.2218210990774172</v>
      </c>
      <c r="K75" s="20">
        <f t="shared" si="2"/>
        <v>6.646172307671538</v>
      </c>
      <c r="L75" s="34"/>
      <c r="M75" s="2"/>
      <c r="N75" s="39"/>
      <c r="O75" s="46"/>
      <c r="P75" s="46"/>
      <c r="Q75" s="66"/>
      <c r="R75" s="70"/>
      <c r="S75" s="76"/>
      <c r="T75" s="50"/>
      <c r="U75" s="57">
        <v>5.05</v>
      </c>
      <c r="V75" s="57">
        <v>5.9</v>
      </c>
      <c r="W75" s="2">
        <v>3.1</v>
      </c>
      <c r="X75" s="29">
        <v>2.306</v>
      </c>
      <c r="Y75" s="61">
        <v>14.5</v>
      </c>
      <c r="Z75" s="2">
        <v>78</v>
      </c>
      <c r="AA75" s="61">
        <v>1.2</v>
      </c>
      <c r="AB75" s="2">
        <v>92</v>
      </c>
      <c r="AC75" s="2">
        <v>55</v>
      </c>
      <c r="AD75" s="2">
        <v>38</v>
      </c>
      <c r="AE75" s="4">
        <v>5.8</v>
      </c>
    </row>
    <row r="76" spans="1:31" x14ac:dyDescent="0.2">
      <c r="A76" s="1">
        <v>8</v>
      </c>
      <c r="B76" s="1" t="s">
        <v>49</v>
      </c>
      <c r="C76" s="28">
        <v>2.375</v>
      </c>
      <c r="D76" s="1">
        <v>19</v>
      </c>
      <c r="E76" s="26">
        <v>1</v>
      </c>
      <c r="F76" s="26">
        <v>0</v>
      </c>
      <c r="G76" s="21">
        <v>24.139500000000002</v>
      </c>
      <c r="H76" s="22">
        <v>13.436999999999999</v>
      </c>
      <c r="I76" s="23">
        <v>24.428999999999998</v>
      </c>
      <c r="J76" s="24">
        <f t="shared" si="3"/>
        <v>2.1960971615720526</v>
      </c>
      <c r="K76" s="24">
        <f t="shared" si="2"/>
        <v>7.5327510917030498</v>
      </c>
      <c r="L76" s="33">
        <v>0</v>
      </c>
      <c r="Q76" s="65"/>
      <c r="R76" s="69"/>
      <c r="S76" s="74"/>
      <c r="T76" s="49"/>
      <c r="U76" s="56">
        <v>5.24</v>
      </c>
      <c r="V76" s="56">
        <v>6.14</v>
      </c>
      <c r="W76" s="1">
        <v>3.2</v>
      </c>
      <c r="X76" s="28">
        <v>2.2989999999999999</v>
      </c>
      <c r="Y76" s="60">
        <v>15</v>
      </c>
      <c r="Z76" s="1">
        <v>78</v>
      </c>
      <c r="AA76" s="60">
        <v>1</v>
      </c>
      <c r="AB76" s="1">
        <v>88</v>
      </c>
      <c r="AC76" s="1">
        <v>47</v>
      </c>
      <c r="AD76" s="1">
        <v>32</v>
      </c>
      <c r="AE76" s="36">
        <v>5</v>
      </c>
    </row>
    <row r="77" spans="1:31" x14ac:dyDescent="0.2">
      <c r="A77" s="1">
        <v>8</v>
      </c>
      <c r="B77" s="1" t="s">
        <v>49</v>
      </c>
      <c r="C77" s="28">
        <v>2.375</v>
      </c>
      <c r="D77" s="1">
        <v>19</v>
      </c>
      <c r="E77" s="1">
        <v>1</v>
      </c>
      <c r="F77" s="1">
        <v>1</v>
      </c>
      <c r="G77" s="11">
        <v>2.8294999999999999</v>
      </c>
      <c r="H77" s="12">
        <v>1.5854999999999999</v>
      </c>
      <c r="I77" s="13">
        <v>2.8605</v>
      </c>
      <c r="J77" s="18">
        <f t="shared" si="3"/>
        <v>2.2192156862745094</v>
      </c>
      <c r="K77" s="18">
        <f t="shared" si="2"/>
        <v>6.5593395252838143</v>
      </c>
      <c r="L77" s="33">
        <v>600</v>
      </c>
      <c r="M77" s="1">
        <v>1</v>
      </c>
      <c r="N77" s="38">
        <v>45467</v>
      </c>
      <c r="O77" s="44">
        <v>2993</v>
      </c>
      <c r="P77" s="44">
        <v>4969</v>
      </c>
      <c r="Q77" s="65">
        <v>2.0550000000000002</v>
      </c>
      <c r="R77" s="69">
        <v>1559.5</v>
      </c>
      <c r="S77" s="74">
        <v>2897</v>
      </c>
      <c r="T77" s="49">
        <v>33810</v>
      </c>
      <c r="U77" s="56">
        <v>5.24</v>
      </c>
      <c r="V77" s="56">
        <v>6.14</v>
      </c>
      <c r="W77" s="1">
        <v>3.2</v>
      </c>
      <c r="X77" s="28">
        <v>2.2989999999999999</v>
      </c>
      <c r="Y77" s="60">
        <v>15</v>
      </c>
      <c r="Z77" s="1">
        <v>78</v>
      </c>
      <c r="AA77" s="60">
        <v>1</v>
      </c>
      <c r="AB77" s="1">
        <v>88</v>
      </c>
      <c r="AC77" s="1">
        <v>47</v>
      </c>
      <c r="AD77" s="1">
        <v>32</v>
      </c>
      <c r="AE77" s="36">
        <v>5</v>
      </c>
    </row>
    <row r="78" spans="1:31" x14ac:dyDescent="0.2">
      <c r="A78" s="1">
        <v>8</v>
      </c>
      <c r="B78" s="1" t="s">
        <v>49</v>
      </c>
      <c r="C78" s="28">
        <v>2.375</v>
      </c>
      <c r="D78" s="1">
        <v>19</v>
      </c>
      <c r="E78" s="1">
        <v>1</v>
      </c>
      <c r="F78" s="1">
        <v>2</v>
      </c>
      <c r="G78" s="11">
        <v>2.7839999999999998</v>
      </c>
      <c r="H78" s="12">
        <v>1.556</v>
      </c>
      <c r="I78" s="13">
        <v>2.8035000000000001</v>
      </c>
      <c r="J78" s="18">
        <f t="shared" si="3"/>
        <v>2.2316633266533064</v>
      </c>
      <c r="K78" s="18">
        <f t="shared" si="2"/>
        <v>6.035228351439736</v>
      </c>
      <c r="L78" s="33">
        <v>600</v>
      </c>
      <c r="M78" s="1">
        <v>2</v>
      </c>
      <c r="N78" s="38">
        <v>45467</v>
      </c>
      <c r="O78" s="44">
        <v>2848</v>
      </c>
      <c r="P78" s="44">
        <v>4754</v>
      </c>
      <c r="Q78" s="65">
        <v>1.905</v>
      </c>
      <c r="R78" s="69">
        <v>1449</v>
      </c>
      <c r="S78" s="74">
        <v>2861</v>
      </c>
      <c r="T78" s="49">
        <v>32370</v>
      </c>
      <c r="U78" s="56">
        <v>5.24</v>
      </c>
      <c r="V78" s="56">
        <v>6.14</v>
      </c>
      <c r="W78" s="1">
        <v>3.2</v>
      </c>
      <c r="X78" s="28">
        <v>2.2989999999999999</v>
      </c>
      <c r="Y78" s="60">
        <v>15</v>
      </c>
      <c r="Z78" s="1">
        <v>78</v>
      </c>
      <c r="AA78" s="60">
        <v>1</v>
      </c>
      <c r="AB78" s="1">
        <v>88</v>
      </c>
      <c r="AC78" s="1">
        <v>47</v>
      </c>
      <c r="AD78" s="1">
        <v>32</v>
      </c>
      <c r="AE78" s="36">
        <v>5</v>
      </c>
    </row>
    <row r="79" spans="1:31" x14ac:dyDescent="0.2">
      <c r="A79" s="1">
        <v>8</v>
      </c>
      <c r="B79" s="1" t="s">
        <v>49</v>
      </c>
      <c r="C79" s="28">
        <v>2.375</v>
      </c>
      <c r="D79" s="1">
        <v>19</v>
      </c>
      <c r="E79" s="1">
        <v>1</v>
      </c>
      <c r="F79" s="1">
        <v>3</v>
      </c>
      <c r="G79" s="11">
        <v>2.8010000000000002</v>
      </c>
      <c r="H79" s="12">
        <v>1.5654999999999999</v>
      </c>
      <c r="I79" s="13">
        <v>2.8239999999999998</v>
      </c>
      <c r="J79" s="18">
        <f t="shared" si="3"/>
        <v>2.2256654747715539</v>
      </c>
      <c r="K79" s="18">
        <f t="shared" si="2"/>
        <v>6.2877694833029967</v>
      </c>
      <c r="L79" s="33">
        <v>600</v>
      </c>
      <c r="M79" s="1">
        <v>3</v>
      </c>
      <c r="N79" s="38">
        <v>45467</v>
      </c>
      <c r="O79" s="44">
        <v>83</v>
      </c>
      <c r="P79" s="44">
        <v>138</v>
      </c>
      <c r="Q79" s="65">
        <v>5.7000000000000002E-2</v>
      </c>
      <c r="R79" s="69">
        <v>1484</v>
      </c>
      <c r="S79" s="74">
        <v>81</v>
      </c>
      <c r="T79" s="49">
        <v>32610</v>
      </c>
      <c r="U79" s="56">
        <v>5.24</v>
      </c>
      <c r="V79" s="56">
        <v>6.14</v>
      </c>
      <c r="W79" s="1">
        <v>3.2</v>
      </c>
      <c r="X79" s="28">
        <v>2.2989999999999999</v>
      </c>
      <c r="Y79" s="60">
        <v>15</v>
      </c>
      <c r="Z79" s="1">
        <v>78</v>
      </c>
      <c r="AA79" s="60">
        <v>1</v>
      </c>
      <c r="AB79" s="1">
        <v>88</v>
      </c>
      <c r="AC79" s="1">
        <v>47</v>
      </c>
      <c r="AD79" s="1">
        <v>32</v>
      </c>
      <c r="AE79" s="36">
        <v>5</v>
      </c>
    </row>
    <row r="80" spans="1:31" x14ac:dyDescent="0.2">
      <c r="A80" s="1">
        <v>8</v>
      </c>
      <c r="B80" s="1" t="s">
        <v>49</v>
      </c>
      <c r="C80" s="28">
        <v>2.375</v>
      </c>
      <c r="D80" s="1">
        <v>19</v>
      </c>
      <c r="E80" s="5">
        <v>1</v>
      </c>
      <c r="F80" s="5">
        <v>4</v>
      </c>
      <c r="G80" s="14">
        <v>2.806</v>
      </c>
      <c r="H80" s="9">
        <v>1.5674999999999999</v>
      </c>
      <c r="I80" s="15">
        <v>2.8304999999999998</v>
      </c>
      <c r="J80" s="19">
        <f t="shared" si="3"/>
        <v>2.2216943784639747</v>
      </c>
      <c r="K80" s="19">
        <f t="shared" si="2"/>
        <v>6.4549735383589653</v>
      </c>
      <c r="L80" s="41">
        <v>400</v>
      </c>
      <c r="M80" s="5">
        <v>4</v>
      </c>
      <c r="N80" s="42">
        <v>45467</v>
      </c>
      <c r="O80" s="47">
        <v>2092</v>
      </c>
      <c r="P80" s="47">
        <v>5235</v>
      </c>
      <c r="Q80" s="67">
        <v>0.86399999999999999</v>
      </c>
      <c r="R80" s="71">
        <v>1079.5999999999999</v>
      </c>
      <c r="S80" s="75">
        <v>1570</v>
      </c>
      <c r="T80" s="51">
        <v>325000</v>
      </c>
      <c r="U80" s="58">
        <v>5.24</v>
      </c>
      <c r="V80" s="58">
        <v>6.14</v>
      </c>
      <c r="W80" s="5">
        <v>3.2</v>
      </c>
      <c r="X80" s="53">
        <v>2.2989999999999999</v>
      </c>
      <c r="Y80" s="62">
        <v>15</v>
      </c>
      <c r="Z80" s="5">
        <v>78</v>
      </c>
      <c r="AA80" s="62">
        <v>1</v>
      </c>
      <c r="AB80" s="5">
        <v>88</v>
      </c>
      <c r="AC80" s="5">
        <v>47</v>
      </c>
      <c r="AD80" s="5">
        <v>32</v>
      </c>
      <c r="AE80" s="43">
        <v>5</v>
      </c>
    </row>
    <row r="81" spans="1:31" x14ac:dyDescent="0.2">
      <c r="A81" s="1">
        <v>8</v>
      </c>
      <c r="B81" s="1" t="s">
        <v>50</v>
      </c>
      <c r="C81" s="28">
        <v>2.375</v>
      </c>
      <c r="D81" s="1">
        <v>19</v>
      </c>
      <c r="E81" s="26">
        <v>2</v>
      </c>
      <c r="F81" s="26">
        <v>0</v>
      </c>
      <c r="G81" s="21">
        <v>24.106999999999999</v>
      </c>
      <c r="H81" s="22">
        <v>13.3895</v>
      </c>
      <c r="I81" s="23">
        <v>24.349</v>
      </c>
      <c r="J81" s="24">
        <f t="shared" si="3"/>
        <v>2.1996441443496511</v>
      </c>
      <c r="K81" s="24">
        <f t="shared" si="2"/>
        <v>7.3834044484357486</v>
      </c>
      <c r="L81" s="33">
        <v>0</v>
      </c>
      <c r="Q81" s="65"/>
      <c r="R81" s="69"/>
      <c r="S81" s="74"/>
      <c r="T81" s="49"/>
      <c r="U81" s="56">
        <v>5.24</v>
      </c>
      <c r="V81" s="56">
        <v>6.14</v>
      </c>
      <c r="W81" s="1">
        <v>3.2</v>
      </c>
      <c r="X81" s="28">
        <v>2.2989999999999999</v>
      </c>
      <c r="Y81" s="60">
        <v>15</v>
      </c>
      <c r="Z81" s="1">
        <v>78</v>
      </c>
      <c r="AA81" s="60">
        <v>1</v>
      </c>
      <c r="AB81" s="1">
        <v>88</v>
      </c>
      <c r="AC81" s="1">
        <v>47</v>
      </c>
      <c r="AD81" s="1">
        <v>32</v>
      </c>
      <c r="AE81" s="36">
        <v>5</v>
      </c>
    </row>
    <row r="82" spans="1:31" x14ac:dyDescent="0.2">
      <c r="A82" s="1">
        <v>8</v>
      </c>
      <c r="B82" s="1" t="s">
        <v>50</v>
      </c>
      <c r="C82" s="28">
        <v>2.375</v>
      </c>
      <c r="D82" s="1">
        <v>19</v>
      </c>
      <c r="E82" s="1">
        <v>2</v>
      </c>
      <c r="F82" s="1">
        <v>1</v>
      </c>
      <c r="G82" s="11">
        <v>2.7244999999999999</v>
      </c>
      <c r="H82" s="12">
        <v>1.5169999999999999</v>
      </c>
      <c r="I82" s="13">
        <v>2.7404999999999999</v>
      </c>
      <c r="J82" s="18">
        <f t="shared" si="3"/>
        <v>2.2268083367388636</v>
      </c>
      <c r="K82" s="18">
        <f t="shared" si="2"/>
        <v>6.2396489794162679</v>
      </c>
      <c r="L82" s="33">
        <v>400</v>
      </c>
      <c r="M82" s="1">
        <v>1</v>
      </c>
      <c r="N82" s="38">
        <v>45468</v>
      </c>
      <c r="O82" s="44">
        <v>2196</v>
      </c>
      <c r="P82" s="44">
        <v>5491</v>
      </c>
      <c r="Q82" s="65">
        <v>0.8</v>
      </c>
      <c r="R82" s="69">
        <v>1108.3</v>
      </c>
      <c r="S82" s="74">
        <v>3277</v>
      </c>
      <c r="T82" s="49">
        <v>324460</v>
      </c>
      <c r="U82" s="56">
        <v>5.24</v>
      </c>
      <c r="V82" s="56">
        <v>6.14</v>
      </c>
      <c r="W82" s="1">
        <v>3.2</v>
      </c>
      <c r="X82" s="28">
        <v>2.2989999999999999</v>
      </c>
      <c r="Y82" s="60">
        <v>15</v>
      </c>
      <c r="Z82" s="1">
        <v>78</v>
      </c>
      <c r="AA82" s="60">
        <v>1</v>
      </c>
      <c r="AB82" s="1">
        <v>88</v>
      </c>
      <c r="AC82" s="1">
        <v>47</v>
      </c>
      <c r="AD82" s="1">
        <v>32</v>
      </c>
      <c r="AE82" s="36">
        <v>5</v>
      </c>
    </row>
    <row r="83" spans="1:31" x14ac:dyDescent="0.2">
      <c r="A83" s="1">
        <v>8</v>
      </c>
      <c r="B83" s="1" t="s">
        <v>50</v>
      </c>
      <c r="C83" s="28">
        <v>2.375</v>
      </c>
      <c r="D83" s="1">
        <v>19</v>
      </c>
      <c r="E83" s="1">
        <v>2</v>
      </c>
      <c r="F83" s="1">
        <v>2</v>
      </c>
      <c r="G83" s="11">
        <v>2.8134999999999999</v>
      </c>
      <c r="H83" s="12">
        <v>1.5705</v>
      </c>
      <c r="I83" s="13">
        <v>2.8330000000000002</v>
      </c>
      <c r="J83" s="18">
        <f t="shared" si="3"/>
        <v>2.2285148514851483</v>
      </c>
      <c r="K83" s="18">
        <f t="shared" si="2"/>
        <v>6.1677957269411277</v>
      </c>
      <c r="L83" s="33">
        <v>400</v>
      </c>
      <c r="M83" s="1">
        <v>2</v>
      </c>
      <c r="N83" s="38">
        <v>45468</v>
      </c>
      <c r="O83" s="44">
        <v>2419</v>
      </c>
      <c r="P83" s="44">
        <v>6040</v>
      </c>
      <c r="Q83" s="65">
        <v>0.83499999999999996</v>
      </c>
      <c r="R83" s="69">
        <v>1212.2</v>
      </c>
      <c r="S83" s="74">
        <v>181</v>
      </c>
      <c r="T83" s="49">
        <v>274550</v>
      </c>
      <c r="U83" s="56">
        <v>5.24</v>
      </c>
      <c r="V83" s="56">
        <v>6.14</v>
      </c>
      <c r="W83" s="1">
        <v>3.2</v>
      </c>
      <c r="X83" s="28">
        <v>2.2989999999999999</v>
      </c>
      <c r="Y83" s="60">
        <v>15</v>
      </c>
      <c r="Z83" s="1">
        <v>78</v>
      </c>
      <c r="AA83" s="60">
        <v>1</v>
      </c>
      <c r="AB83" s="1">
        <v>88</v>
      </c>
      <c r="AC83" s="1">
        <v>47</v>
      </c>
      <c r="AD83" s="1">
        <v>32</v>
      </c>
      <c r="AE83" s="36">
        <v>5</v>
      </c>
    </row>
    <row r="84" spans="1:31" x14ac:dyDescent="0.2">
      <c r="A84" s="1">
        <v>8</v>
      </c>
      <c r="B84" s="1" t="s">
        <v>50</v>
      </c>
      <c r="C84" s="28">
        <v>2.375</v>
      </c>
      <c r="D84" s="1">
        <v>19</v>
      </c>
      <c r="E84" s="1">
        <v>2</v>
      </c>
      <c r="F84" s="1">
        <v>3</v>
      </c>
      <c r="G84" s="11">
        <v>2.8029999999999999</v>
      </c>
      <c r="H84" s="12">
        <v>1.5714999999999999</v>
      </c>
      <c r="I84" s="13">
        <v>2.8279999999999998</v>
      </c>
      <c r="J84" s="18">
        <f t="shared" si="3"/>
        <v>2.2307998408276961</v>
      </c>
      <c r="K84" s="18">
        <f t="shared" si="2"/>
        <v>6.0715856493601672</v>
      </c>
      <c r="L84" s="33"/>
      <c r="Q84" s="65"/>
      <c r="R84" s="69"/>
      <c r="S84" s="74"/>
      <c r="T84" s="49"/>
      <c r="U84" s="56">
        <v>5.24</v>
      </c>
      <c r="V84" s="56">
        <v>6.14</v>
      </c>
      <c r="W84" s="1">
        <v>3.2</v>
      </c>
      <c r="X84" s="28">
        <v>2.2989999999999999</v>
      </c>
      <c r="Y84" s="60">
        <v>15</v>
      </c>
      <c r="Z84" s="1">
        <v>78</v>
      </c>
      <c r="AA84" s="60">
        <v>1</v>
      </c>
      <c r="AB84" s="1">
        <v>88</v>
      </c>
      <c r="AC84" s="1">
        <v>47</v>
      </c>
      <c r="AD84" s="1">
        <v>32</v>
      </c>
      <c r="AE84" s="36">
        <v>5</v>
      </c>
    </row>
    <row r="85" spans="1:31" ht="16" thickBot="1" x14ac:dyDescent="0.25">
      <c r="A85" s="1">
        <v>8</v>
      </c>
      <c r="B85" s="1" t="s">
        <v>50</v>
      </c>
      <c r="C85" s="29">
        <v>2.375</v>
      </c>
      <c r="D85" s="2">
        <v>19</v>
      </c>
      <c r="E85" s="2">
        <v>2</v>
      </c>
      <c r="F85" s="2">
        <v>4</v>
      </c>
      <c r="G85" s="16">
        <v>2.7654999999999998</v>
      </c>
      <c r="H85" s="10">
        <v>1.538</v>
      </c>
      <c r="I85" s="17">
        <v>2.7850000000000001</v>
      </c>
      <c r="J85" s="20">
        <f t="shared" si="3"/>
        <v>2.2177225340817959</v>
      </c>
      <c r="K85" s="20">
        <f t="shared" si="2"/>
        <v>6.6222090912928078</v>
      </c>
      <c r="L85" s="34"/>
      <c r="M85" s="2"/>
      <c r="N85" s="39"/>
      <c r="O85" s="46"/>
      <c r="P85" s="46"/>
      <c r="Q85" s="66"/>
      <c r="R85" s="70"/>
      <c r="S85" s="76"/>
      <c r="T85" s="50"/>
      <c r="U85" s="57">
        <v>5.24</v>
      </c>
      <c r="V85" s="57">
        <v>6.14</v>
      </c>
      <c r="W85" s="2">
        <v>3.2</v>
      </c>
      <c r="X85" s="29">
        <v>2.2989999999999999</v>
      </c>
      <c r="Y85" s="61">
        <v>15</v>
      </c>
      <c r="Z85" s="2">
        <v>78</v>
      </c>
      <c r="AA85" s="61">
        <v>1</v>
      </c>
      <c r="AB85" s="2">
        <v>88</v>
      </c>
      <c r="AC85" s="2">
        <v>47</v>
      </c>
      <c r="AD85" s="2">
        <v>32</v>
      </c>
      <c r="AE85" s="4">
        <v>5</v>
      </c>
    </row>
    <row r="86" spans="1:31" x14ac:dyDescent="0.2">
      <c r="A86" s="1">
        <v>9</v>
      </c>
      <c r="B86" s="1" t="s">
        <v>51</v>
      </c>
      <c r="C86" s="28">
        <v>2.3839999999999999</v>
      </c>
      <c r="D86" s="1">
        <v>12.5</v>
      </c>
      <c r="E86" s="26">
        <v>1</v>
      </c>
      <c r="F86" s="26">
        <v>0</v>
      </c>
      <c r="G86" s="21">
        <v>23.111000000000001</v>
      </c>
      <c r="H86" s="22">
        <v>12.8185</v>
      </c>
      <c r="I86" s="23">
        <v>23.335000000000001</v>
      </c>
      <c r="J86" s="24">
        <f t="shared" si="3"/>
        <v>2.197594256644321</v>
      </c>
      <c r="K86" s="24">
        <f t="shared" si="2"/>
        <v>7.8190328588791491</v>
      </c>
      <c r="L86" s="33">
        <v>0</v>
      </c>
      <c r="Q86" s="65"/>
      <c r="R86" s="69"/>
      <c r="S86" s="74"/>
      <c r="T86" s="49"/>
      <c r="U86" s="56">
        <v>5.09</v>
      </c>
      <c r="V86" s="56">
        <v>6</v>
      </c>
      <c r="W86" s="1">
        <v>3.4</v>
      </c>
      <c r="X86" s="28">
        <v>2.302</v>
      </c>
      <c r="Y86" s="60">
        <v>14.9</v>
      </c>
      <c r="Z86" s="1">
        <v>77</v>
      </c>
      <c r="AA86" s="60">
        <v>1.2</v>
      </c>
      <c r="AB86" s="1">
        <v>93</v>
      </c>
      <c r="AC86" s="1">
        <v>60</v>
      </c>
      <c r="AD86" s="1">
        <v>41</v>
      </c>
      <c r="AE86" s="36">
        <v>5.9</v>
      </c>
    </row>
    <row r="87" spans="1:31" x14ac:dyDescent="0.2">
      <c r="A87" s="1">
        <v>9</v>
      </c>
      <c r="B87" s="1" t="s">
        <v>51</v>
      </c>
      <c r="C87" s="28">
        <v>2.3839999999999999</v>
      </c>
      <c r="D87" s="1">
        <v>12.5</v>
      </c>
      <c r="E87" s="1">
        <v>1</v>
      </c>
      <c r="F87" s="1">
        <v>1</v>
      </c>
      <c r="G87" s="11">
        <v>2.8140000000000001</v>
      </c>
      <c r="H87" s="12">
        <v>1.5629999999999999</v>
      </c>
      <c r="I87" s="13">
        <v>2.82</v>
      </c>
      <c r="J87" s="18">
        <f t="shared" si="3"/>
        <v>2.2386634844868736</v>
      </c>
      <c r="K87" s="18">
        <f t="shared" si="2"/>
        <v>6.0963303487049592</v>
      </c>
      <c r="L87" s="33">
        <v>600</v>
      </c>
      <c r="M87" s="1">
        <v>1</v>
      </c>
      <c r="N87" s="38">
        <v>45471</v>
      </c>
      <c r="O87" s="44">
        <v>2722</v>
      </c>
      <c r="P87" s="44">
        <v>4538</v>
      </c>
      <c r="Q87" s="65">
        <v>1.9470000000000001</v>
      </c>
      <c r="R87" s="69">
        <v>1384</v>
      </c>
      <c r="S87" s="74">
        <v>2715</v>
      </c>
      <c r="T87" s="49">
        <v>35700</v>
      </c>
      <c r="U87" s="56">
        <v>5.09</v>
      </c>
      <c r="V87" s="56">
        <v>6</v>
      </c>
      <c r="W87" s="1">
        <v>3.4</v>
      </c>
      <c r="X87" s="28">
        <v>2.302</v>
      </c>
      <c r="Y87" s="60">
        <v>14.9</v>
      </c>
      <c r="Z87" s="1">
        <v>77</v>
      </c>
      <c r="AA87" s="60">
        <v>1.2</v>
      </c>
      <c r="AB87" s="1">
        <v>93</v>
      </c>
      <c r="AC87" s="1">
        <v>60</v>
      </c>
      <c r="AD87" s="1">
        <v>41</v>
      </c>
      <c r="AE87" s="36">
        <v>5.9</v>
      </c>
    </row>
    <row r="88" spans="1:31" x14ac:dyDescent="0.2">
      <c r="A88" s="1">
        <v>9</v>
      </c>
      <c r="B88" s="1" t="s">
        <v>51</v>
      </c>
      <c r="C88" s="28">
        <v>2.3839999999999999</v>
      </c>
      <c r="D88" s="1">
        <v>12.5</v>
      </c>
      <c r="E88" s="1">
        <v>1</v>
      </c>
      <c r="F88" s="1">
        <v>2</v>
      </c>
      <c r="G88" s="11">
        <v>2.8690000000000002</v>
      </c>
      <c r="H88" s="12">
        <v>1.5925</v>
      </c>
      <c r="I88" s="13">
        <v>2.8734999999999999</v>
      </c>
      <c r="J88" s="18">
        <f t="shared" si="3"/>
        <v>2.2396565183450434</v>
      </c>
      <c r="K88" s="18">
        <f t="shared" si="2"/>
        <v>6.0546762439159574</v>
      </c>
      <c r="L88" s="33">
        <v>600</v>
      </c>
      <c r="M88" s="1">
        <v>2</v>
      </c>
      <c r="N88" s="38">
        <v>45471</v>
      </c>
      <c r="O88" s="44">
        <v>3041</v>
      </c>
      <c r="P88" s="44">
        <v>5071</v>
      </c>
      <c r="Q88" s="65">
        <v>1.974</v>
      </c>
      <c r="R88" s="69">
        <v>1587.7</v>
      </c>
      <c r="S88" s="74">
        <v>2856</v>
      </c>
      <c r="T88" s="49">
        <v>32160</v>
      </c>
      <c r="U88" s="56">
        <v>5.09</v>
      </c>
      <c r="V88" s="56">
        <v>6</v>
      </c>
      <c r="W88" s="1">
        <v>3.4</v>
      </c>
      <c r="X88" s="28">
        <v>2.302</v>
      </c>
      <c r="Y88" s="60">
        <v>14.9</v>
      </c>
      <c r="Z88" s="1">
        <v>77</v>
      </c>
      <c r="AA88" s="60">
        <v>1.2</v>
      </c>
      <c r="AB88" s="1">
        <v>93</v>
      </c>
      <c r="AC88" s="1">
        <v>60</v>
      </c>
      <c r="AD88" s="1">
        <v>41</v>
      </c>
      <c r="AE88" s="36">
        <v>5.9</v>
      </c>
    </row>
    <row r="89" spans="1:31" x14ac:dyDescent="0.2">
      <c r="A89" s="1">
        <v>9</v>
      </c>
      <c r="B89" s="1" t="s">
        <v>51</v>
      </c>
      <c r="C89" s="28">
        <v>2.3839999999999999</v>
      </c>
      <c r="D89" s="1">
        <v>12.5</v>
      </c>
      <c r="E89" s="1">
        <v>1</v>
      </c>
      <c r="F89" s="1">
        <v>3</v>
      </c>
      <c r="G89" s="11">
        <v>2.84</v>
      </c>
      <c r="H89" s="12">
        <v>1.5665</v>
      </c>
      <c r="I89" s="13">
        <v>2.8460000000000001</v>
      </c>
      <c r="J89" s="18">
        <f t="shared" si="3"/>
        <v>2.2196170379054316</v>
      </c>
      <c r="K89" s="18">
        <f t="shared" si="2"/>
        <v>6.8952584771211578</v>
      </c>
      <c r="L89" s="33">
        <v>600</v>
      </c>
      <c r="M89" s="1">
        <v>3</v>
      </c>
      <c r="N89" s="38">
        <v>45471</v>
      </c>
      <c r="O89" s="44">
        <v>2792</v>
      </c>
      <c r="P89" s="44">
        <v>4647</v>
      </c>
      <c r="Q89" s="65">
        <v>1.8240000000000001</v>
      </c>
      <c r="R89" s="69">
        <v>1462.4</v>
      </c>
      <c r="S89" s="74">
        <v>2451</v>
      </c>
      <c r="T89" s="49">
        <v>43340</v>
      </c>
      <c r="U89" s="56">
        <v>5.09</v>
      </c>
      <c r="V89" s="56">
        <v>6</v>
      </c>
      <c r="W89" s="1">
        <v>3.4</v>
      </c>
      <c r="X89" s="28">
        <v>2.302</v>
      </c>
      <c r="Y89" s="60">
        <v>14.9</v>
      </c>
      <c r="Z89" s="1">
        <v>77</v>
      </c>
      <c r="AA89" s="60">
        <v>1.2</v>
      </c>
      <c r="AB89" s="1">
        <v>93</v>
      </c>
      <c r="AC89" s="1">
        <v>60</v>
      </c>
      <c r="AD89" s="1">
        <v>41</v>
      </c>
      <c r="AE89" s="36">
        <v>5.9</v>
      </c>
    </row>
    <row r="90" spans="1:31" x14ac:dyDescent="0.2">
      <c r="A90" s="1">
        <v>9</v>
      </c>
      <c r="B90" s="1" t="s">
        <v>51</v>
      </c>
      <c r="C90" s="28">
        <v>2.3839999999999999</v>
      </c>
      <c r="D90" s="1">
        <v>12.5</v>
      </c>
      <c r="E90" s="5">
        <v>1</v>
      </c>
      <c r="F90" s="5">
        <v>4</v>
      </c>
      <c r="G90" s="14">
        <v>2.8035000000000001</v>
      </c>
      <c r="H90" s="9">
        <v>1.5545</v>
      </c>
      <c r="I90" s="15">
        <v>2.8119999999999998</v>
      </c>
      <c r="J90" s="19">
        <f t="shared" si="3"/>
        <v>2.2294234592445332</v>
      </c>
      <c r="K90" s="19">
        <f t="shared" si="2"/>
        <v>6.4839153001454157</v>
      </c>
      <c r="L90" s="41">
        <v>400</v>
      </c>
      <c r="M90" s="5">
        <v>4</v>
      </c>
      <c r="N90" s="42">
        <v>45471</v>
      </c>
      <c r="O90" s="47">
        <v>2158</v>
      </c>
      <c r="P90" s="47">
        <v>5407</v>
      </c>
      <c r="Q90" s="67">
        <v>0.90500000000000003</v>
      </c>
      <c r="R90" s="71">
        <v>1075.5</v>
      </c>
      <c r="S90" s="75">
        <v>3010</v>
      </c>
      <c r="T90" s="51">
        <v>585330</v>
      </c>
      <c r="U90" s="58">
        <v>5.09</v>
      </c>
      <c r="V90" s="58">
        <v>6</v>
      </c>
      <c r="W90" s="5">
        <v>3.4</v>
      </c>
      <c r="X90" s="53">
        <v>2.302</v>
      </c>
      <c r="Y90" s="62">
        <v>14.9</v>
      </c>
      <c r="Z90" s="5">
        <v>77</v>
      </c>
      <c r="AA90" s="62">
        <v>1.2</v>
      </c>
      <c r="AB90" s="5">
        <v>93</v>
      </c>
      <c r="AC90" s="5">
        <v>60</v>
      </c>
      <c r="AD90" s="5">
        <v>41</v>
      </c>
      <c r="AE90" s="43">
        <v>5.9</v>
      </c>
    </row>
    <row r="91" spans="1:31" x14ac:dyDescent="0.2">
      <c r="A91" s="1">
        <v>9</v>
      </c>
      <c r="B91" s="1" t="s">
        <v>52</v>
      </c>
      <c r="C91" s="28">
        <v>2.3839999999999999</v>
      </c>
      <c r="D91" s="1">
        <v>12.5</v>
      </c>
      <c r="E91" s="26">
        <v>2</v>
      </c>
      <c r="F91" s="26">
        <v>0</v>
      </c>
      <c r="G91" s="21">
        <v>24.037500000000001</v>
      </c>
      <c r="H91" s="22">
        <v>13.334</v>
      </c>
      <c r="I91" s="23">
        <v>24.265499999999999</v>
      </c>
      <c r="J91" s="24">
        <f t="shared" si="3"/>
        <v>2.1989205507020997</v>
      </c>
      <c r="K91" s="24">
        <f t="shared" si="2"/>
        <v>7.7633997188716553</v>
      </c>
      <c r="L91" s="33">
        <v>0</v>
      </c>
      <c r="Q91" s="65"/>
      <c r="R91" s="69"/>
      <c r="S91" s="74"/>
      <c r="T91" s="49"/>
      <c r="U91" s="56">
        <v>5.09</v>
      </c>
      <c r="V91" s="56">
        <v>6</v>
      </c>
      <c r="W91" s="1">
        <v>3.4</v>
      </c>
      <c r="X91" s="28">
        <v>2.302</v>
      </c>
      <c r="Y91" s="60">
        <v>14.9</v>
      </c>
      <c r="Z91" s="1">
        <v>77</v>
      </c>
      <c r="AA91" s="60">
        <v>1.2</v>
      </c>
      <c r="AB91" s="1">
        <v>93</v>
      </c>
      <c r="AC91" s="1">
        <v>60</v>
      </c>
      <c r="AD91" s="1">
        <v>41</v>
      </c>
      <c r="AE91" s="36">
        <v>5.9</v>
      </c>
    </row>
    <row r="92" spans="1:31" x14ac:dyDescent="0.2">
      <c r="A92" s="1">
        <v>9</v>
      </c>
      <c r="B92" s="1" t="s">
        <v>52</v>
      </c>
      <c r="C92" s="28">
        <v>2.3839999999999999</v>
      </c>
      <c r="D92" s="1">
        <v>12.5</v>
      </c>
      <c r="E92" s="1">
        <v>2</v>
      </c>
      <c r="F92" s="1">
        <v>1</v>
      </c>
      <c r="G92" s="11">
        <v>2.8254999999999999</v>
      </c>
      <c r="H92" s="12">
        <v>1.57</v>
      </c>
      <c r="I92" s="13">
        <v>2.8315000000000001</v>
      </c>
      <c r="J92" s="18">
        <f t="shared" si="3"/>
        <v>2.2397938961553705</v>
      </c>
      <c r="K92" s="18">
        <f t="shared" si="2"/>
        <v>6.0489137518720426</v>
      </c>
      <c r="L92" s="33">
        <v>400</v>
      </c>
      <c r="M92" s="1">
        <v>1</v>
      </c>
      <c r="N92" s="38">
        <v>45472</v>
      </c>
      <c r="O92" s="44">
        <v>2158</v>
      </c>
      <c r="P92" s="44">
        <v>5387</v>
      </c>
      <c r="Q92" s="65">
        <v>0.91</v>
      </c>
      <c r="R92" s="69">
        <v>1123.5</v>
      </c>
      <c r="S92" s="74">
        <v>2488</v>
      </c>
      <c r="T92" s="49">
        <v>778840</v>
      </c>
      <c r="U92" s="56">
        <v>5.09</v>
      </c>
      <c r="V92" s="56">
        <v>6</v>
      </c>
      <c r="W92" s="1">
        <v>3.4</v>
      </c>
      <c r="X92" s="28">
        <v>2.302</v>
      </c>
      <c r="Y92" s="60">
        <v>14.9</v>
      </c>
      <c r="Z92" s="1">
        <v>77</v>
      </c>
      <c r="AA92" s="60">
        <v>1.2</v>
      </c>
      <c r="AB92" s="1">
        <v>93</v>
      </c>
      <c r="AC92" s="1">
        <v>60</v>
      </c>
      <c r="AD92" s="1">
        <v>41</v>
      </c>
      <c r="AE92" s="36">
        <v>5.9</v>
      </c>
    </row>
    <row r="93" spans="1:31" x14ac:dyDescent="0.2">
      <c r="A93" s="1">
        <v>9</v>
      </c>
      <c r="B93" s="1" t="s">
        <v>52</v>
      </c>
      <c r="C93" s="28">
        <v>2.3839999999999999</v>
      </c>
      <c r="D93" s="1">
        <v>12.5</v>
      </c>
      <c r="E93" s="1">
        <v>2</v>
      </c>
      <c r="F93" s="1">
        <v>2</v>
      </c>
      <c r="G93" s="11">
        <v>2.8740000000000001</v>
      </c>
      <c r="H93" s="12">
        <v>1.59</v>
      </c>
      <c r="I93" s="13">
        <v>2.88</v>
      </c>
      <c r="J93" s="18">
        <f t="shared" si="3"/>
        <v>2.2279069767441864</v>
      </c>
      <c r="K93" s="18">
        <f t="shared" si="2"/>
        <v>6.5475261432807681</v>
      </c>
      <c r="L93" s="33">
        <v>400</v>
      </c>
      <c r="M93" s="1">
        <v>2</v>
      </c>
      <c r="N93" s="38">
        <v>45473</v>
      </c>
      <c r="O93" s="44">
        <v>2110</v>
      </c>
      <c r="P93" s="44">
        <v>5285</v>
      </c>
      <c r="Q93" s="65">
        <v>0.89600000000000002</v>
      </c>
      <c r="R93" s="69">
        <v>1110.9000000000001</v>
      </c>
      <c r="S93" s="74">
        <v>885</v>
      </c>
      <c r="T93" s="49">
        <v>465660</v>
      </c>
      <c r="U93" s="56">
        <v>5.09</v>
      </c>
      <c r="V93" s="56">
        <v>6</v>
      </c>
      <c r="W93" s="1">
        <v>3.4</v>
      </c>
      <c r="X93" s="28">
        <v>2.302</v>
      </c>
      <c r="Y93" s="60">
        <v>14.9</v>
      </c>
      <c r="Z93" s="1">
        <v>77</v>
      </c>
      <c r="AA93" s="60">
        <v>1.2</v>
      </c>
      <c r="AB93" s="1">
        <v>93</v>
      </c>
      <c r="AC93" s="1">
        <v>60</v>
      </c>
      <c r="AD93" s="1">
        <v>41</v>
      </c>
      <c r="AE93" s="36">
        <v>5.9</v>
      </c>
    </row>
    <row r="94" spans="1:31" x14ac:dyDescent="0.2">
      <c r="A94" s="1">
        <v>9</v>
      </c>
      <c r="B94" s="1" t="s">
        <v>52</v>
      </c>
      <c r="C94" s="28">
        <v>2.3839999999999999</v>
      </c>
      <c r="D94" s="1">
        <v>12.5</v>
      </c>
      <c r="E94" s="1">
        <v>2</v>
      </c>
      <c r="F94" s="1">
        <v>3</v>
      </c>
      <c r="G94" s="11">
        <v>2.8504999999999998</v>
      </c>
      <c r="H94" s="12">
        <v>1.5814999999999999</v>
      </c>
      <c r="I94" s="13">
        <v>2.8544999999999998</v>
      </c>
      <c r="J94" s="18">
        <f t="shared" si="3"/>
        <v>2.2391987431264728</v>
      </c>
      <c r="K94" s="18">
        <f t="shared" si="2"/>
        <v>6.073878224560703</v>
      </c>
      <c r="L94" s="33"/>
      <c r="Q94" s="65"/>
      <c r="R94" s="69"/>
      <c r="S94" s="74"/>
      <c r="T94" s="49"/>
      <c r="U94" s="56">
        <v>5.09</v>
      </c>
      <c r="V94" s="56">
        <v>6</v>
      </c>
      <c r="W94" s="1">
        <v>3.4</v>
      </c>
      <c r="X94" s="28">
        <v>2.302</v>
      </c>
      <c r="Y94" s="60">
        <v>14.9</v>
      </c>
      <c r="Z94" s="1">
        <v>77</v>
      </c>
      <c r="AA94" s="60">
        <v>1.2</v>
      </c>
      <c r="AB94" s="1">
        <v>93</v>
      </c>
      <c r="AC94" s="1">
        <v>60</v>
      </c>
      <c r="AD94" s="1">
        <v>41</v>
      </c>
      <c r="AE94" s="36">
        <v>5.9</v>
      </c>
    </row>
    <row r="95" spans="1:31" ht="16" thickBot="1" x14ac:dyDescent="0.25">
      <c r="A95" s="1">
        <v>9</v>
      </c>
      <c r="B95" s="1" t="s">
        <v>52</v>
      </c>
      <c r="C95" s="29">
        <v>2.3839999999999999</v>
      </c>
      <c r="D95" s="2">
        <v>12.5</v>
      </c>
      <c r="E95" s="2">
        <v>2</v>
      </c>
      <c r="F95" s="2">
        <v>4</v>
      </c>
      <c r="G95" s="16">
        <v>2.86</v>
      </c>
      <c r="H95" s="10">
        <v>1.5865</v>
      </c>
      <c r="I95" s="17">
        <v>2.8660000000000001</v>
      </c>
      <c r="J95" s="20">
        <f t="shared" si="3"/>
        <v>2.235248143806174</v>
      </c>
      <c r="K95" s="20">
        <f t="shared" si="2"/>
        <v>6.2395912832980631</v>
      </c>
      <c r="L95" s="34"/>
      <c r="M95" s="2"/>
      <c r="N95" s="39"/>
      <c r="O95" s="46"/>
      <c r="P95" s="46"/>
      <c r="Q95" s="66"/>
      <c r="R95" s="70"/>
      <c r="S95" s="76"/>
      <c r="T95" s="50"/>
      <c r="U95" s="57">
        <v>5.09</v>
      </c>
      <c r="V95" s="57">
        <v>6</v>
      </c>
      <c r="W95" s="2">
        <v>3.4</v>
      </c>
      <c r="X95" s="29">
        <v>2.302</v>
      </c>
      <c r="Y95" s="61">
        <v>14.9</v>
      </c>
      <c r="Z95" s="2">
        <v>77</v>
      </c>
      <c r="AA95" s="61">
        <v>1.2</v>
      </c>
      <c r="AB95" s="2">
        <v>93</v>
      </c>
      <c r="AC95" s="2">
        <v>60</v>
      </c>
      <c r="AD95" s="2">
        <v>41</v>
      </c>
      <c r="AE95" s="4">
        <v>5.9</v>
      </c>
    </row>
    <row r="96" spans="1:31" x14ac:dyDescent="0.2">
      <c r="A96" s="1">
        <v>10</v>
      </c>
      <c r="B96" s="1" t="s">
        <v>53</v>
      </c>
      <c r="C96" s="28">
        <v>2.3889999999999998</v>
      </c>
      <c r="D96" s="1">
        <v>19</v>
      </c>
      <c r="E96" s="26">
        <v>1</v>
      </c>
      <c r="F96" s="26">
        <v>0</v>
      </c>
      <c r="G96" s="21">
        <v>23.942</v>
      </c>
      <c r="H96" s="22">
        <v>13.254200000000001</v>
      </c>
      <c r="I96" s="23">
        <v>24.056999999999999</v>
      </c>
      <c r="J96" s="24">
        <f t="shared" si="3"/>
        <v>2.2162772614507356</v>
      </c>
      <c r="K96" s="24">
        <f t="shared" si="2"/>
        <v>7.2299178965786641</v>
      </c>
      <c r="L96" s="33">
        <v>0</v>
      </c>
      <c r="Q96" s="65"/>
      <c r="R96" s="69"/>
      <c r="S96" s="74"/>
      <c r="T96" s="49"/>
      <c r="U96" s="56">
        <v>4.95</v>
      </c>
      <c r="V96" s="56">
        <v>5.9</v>
      </c>
      <c r="W96" s="1">
        <v>3.5</v>
      </c>
      <c r="X96" s="28">
        <v>2.3069999999999999</v>
      </c>
      <c r="Y96" s="60">
        <v>14.6</v>
      </c>
      <c r="Z96" s="1">
        <v>76</v>
      </c>
      <c r="AA96" s="60">
        <v>1.1000000000000001</v>
      </c>
      <c r="AB96" s="1">
        <v>88</v>
      </c>
      <c r="AC96" s="1">
        <v>51</v>
      </c>
      <c r="AD96" s="1">
        <v>35</v>
      </c>
      <c r="AE96" s="36">
        <v>5.5</v>
      </c>
    </row>
    <row r="97" spans="1:31" x14ac:dyDescent="0.2">
      <c r="A97" s="1">
        <v>10</v>
      </c>
      <c r="B97" s="1" t="s">
        <v>53</v>
      </c>
      <c r="C97" s="28">
        <v>2.3889999999999998</v>
      </c>
      <c r="D97" s="1">
        <v>19</v>
      </c>
      <c r="E97" s="1">
        <v>1</v>
      </c>
      <c r="F97" s="1">
        <v>1</v>
      </c>
      <c r="G97" s="11">
        <v>2.7865000000000002</v>
      </c>
      <c r="H97" s="12">
        <v>1.5485</v>
      </c>
      <c r="I97" s="13">
        <v>2.7909999999999999</v>
      </c>
      <c r="J97" s="18">
        <f t="shared" si="3"/>
        <v>2.2426559356136821</v>
      </c>
      <c r="K97" s="18">
        <f t="shared" si="2"/>
        <v>6.1257456838140545</v>
      </c>
      <c r="L97" s="33">
        <v>600</v>
      </c>
      <c r="M97" s="1">
        <v>1</v>
      </c>
      <c r="N97" s="38">
        <v>45474</v>
      </c>
      <c r="O97" s="44">
        <v>3022</v>
      </c>
      <c r="P97" s="44">
        <v>5058</v>
      </c>
      <c r="Q97" s="65">
        <v>2.0339999999999998</v>
      </c>
      <c r="R97" s="69">
        <v>1536.3</v>
      </c>
      <c r="S97" s="74">
        <v>2928</v>
      </c>
      <c r="T97" s="49">
        <v>39250</v>
      </c>
      <c r="U97" s="56">
        <v>4.95</v>
      </c>
      <c r="V97" s="56">
        <v>5.9</v>
      </c>
      <c r="W97" s="1">
        <v>3.5</v>
      </c>
      <c r="X97" s="28">
        <v>2.3069999999999999</v>
      </c>
      <c r="Y97" s="60">
        <v>14.6</v>
      </c>
      <c r="Z97" s="1">
        <v>76</v>
      </c>
      <c r="AA97" s="60">
        <v>1.1000000000000001</v>
      </c>
      <c r="AB97" s="1">
        <v>88</v>
      </c>
      <c r="AC97" s="1">
        <v>51</v>
      </c>
      <c r="AD97" s="1">
        <v>35</v>
      </c>
      <c r="AE97" s="36">
        <v>5.5</v>
      </c>
    </row>
    <row r="98" spans="1:31" x14ac:dyDescent="0.2">
      <c r="A98" s="1">
        <v>10</v>
      </c>
      <c r="B98" s="1" t="s">
        <v>53</v>
      </c>
      <c r="C98" s="28">
        <v>2.3889999999999998</v>
      </c>
      <c r="D98" s="1">
        <v>19</v>
      </c>
      <c r="E98" s="1">
        <v>1</v>
      </c>
      <c r="F98" s="1">
        <v>2</v>
      </c>
      <c r="G98" s="11">
        <v>2.798</v>
      </c>
      <c r="H98" s="12">
        <v>1.554</v>
      </c>
      <c r="I98" s="13">
        <v>2.8014999999999999</v>
      </c>
      <c r="J98" s="18">
        <f t="shared" si="3"/>
        <v>2.2428857715430865</v>
      </c>
      <c r="K98" s="18">
        <f t="shared" si="2"/>
        <v>6.1161250923781214</v>
      </c>
      <c r="L98" s="33">
        <v>600</v>
      </c>
      <c r="M98" s="1">
        <v>2</v>
      </c>
      <c r="N98" s="38">
        <v>45474</v>
      </c>
      <c r="O98" s="44">
        <v>3572</v>
      </c>
      <c r="P98" s="44">
        <v>5942</v>
      </c>
      <c r="Q98" s="65">
        <v>2.0750000000000002</v>
      </c>
      <c r="R98" s="69">
        <v>1817.4</v>
      </c>
      <c r="S98" s="74">
        <v>3289</v>
      </c>
      <c r="T98" s="49">
        <v>43820</v>
      </c>
      <c r="U98" s="56">
        <v>4.95</v>
      </c>
      <c r="V98" s="56">
        <v>5.9</v>
      </c>
      <c r="W98" s="1">
        <v>3.5</v>
      </c>
      <c r="X98" s="28">
        <v>2.3069999999999999</v>
      </c>
      <c r="Y98" s="60">
        <v>14.6</v>
      </c>
      <c r="Z98" s="1">
        <v>76</v>
      </c>
      <c r="AA98" s="60">
        <v>1.1000000000000001</v>
      </c>
      <c r="AB98" s="1">
        <v>88</v>
      </c>
      <c r="AC98" s="1">
        <v>51</v>
      </c>
      <c r="AD98" s="1">
        <v>35</v>
      </c>
      <c r="AE98" s="36">
        <v>5.5</v>
      </c>
    </row>
    <row r="99" spans="1:31" x14ac:dyDescent="0.2">
      <c r="A99" s="1">
        <v>10</v>
      </c>
      <c r="B99" s="1" t="s">
        <v>53</v>
      </c>
      <c r="C99" s="28">
        <v>2.3889999999999998</v>
      </c>
      <c r="D99" s="1">
        <v>19</v>
      </c>
      <c r="E99" s="1">
        <v>1</v>
      </c>
      <c r="F99" s="1">
        <v>3</v>
      </c>
      <c r="G99" s="11">
        <v>2.8035000000000001</v>
      </c>
      <c r="H99" s="12">
        <v>1.5535000000000001</v>
      </c>
      <c r="I99" s="13">
        <v>2.8090000000000002</v>
      </c>
      <c r="J99" s="18">
        <f t="shared" si="3"/>
        <v>2.2329749103942653</v>
      </c>
      <c r="K99" s="18">
        <f t="shared" si="2"/>
        <v>6.5309790542375286</v>
      </c>
      <c r="L99" s="33">
        <v>600</v>
      </c>
      <c r="M99" s="1">
        <v>3</v>
      </c>
      <c r="N99" s="38">
        <v>45474</v>
      </c>
      <c r="O99" s="44">
        <v>3410</v>
      </c>
      <c r="P99" s="44">
        <v>5666</v>
      </c>
      <c r="Q99" s="65">
        <v>1.897</v>
      </c>
      <c r="R99" s="69">
        <v>1751.7</v>
      </c>
      <c r="S99" s="74">
        <v>3161</v>
      </c>
      <c r="T99" s="49">
        <v>38730</v>
      </c>
      <c r="U99" s="56">
        <v>4.95</v>
      </c>
      <c r="V99" s="56">
        <v>5.9</v>
      </c>
      <c r="W99" s="1">
        <v>3.5</v>
      </c>
      <c r="X99" s="28">
        <v>2.3069999999999999</v>
      </c>
      <c r="Y99" s="60">
        <v>14.6</v>
      </c>
      <c r="Z99" s="1">
        <v>76</v>
      </c>
      <c r="AA99" s="60">
        <v>1.1000000000000001</v>
      </c>
      <c r="AB99" s="1">
        <v>88</v>
      </c>
      <c r="AC99" s="1">
        <v>51</v>
      </c>
      <c r="AD99" s="1">
        <v>35</v>
      </c>
      <c r="AE99" s="36">
        <v>5.5</v>
      </c>
    </row>
    <row r="100" spans="1:31" x14ac:dyDescent="0.2">
      <c r="A100" s="1">
        <v>10</v>
      </c>
      <c r="B100" s="1" t="s">
        <v>53</v>
      </c>
      <c r="C100" s="28">
        <v>2.3889999999999998</v>
      </c>
      <c r="D100" s="1">
        <v>19</v>
      </c>
      <c r="E100" s="5">
        <v>1</v>
      </c>
      <c r="F100" s="5">
        <v>4</v>
      </c>
      <c r="G100" s="14">
        <v>2.7919999999999998</v>
      </c>
      <c r="H100" s="9">
        <v>1.5495000000000001</v>
      </c>
      <c r="I100" s="15">
        <v>2.7949999999999999</v>
      </c>
      <c r="J100" s="19">
        <f t="shared" si="3"/>
        <v>2.2416700120433561</v>
      </c>
      <c r="K100" s="19">
        <f t="shared" si="2"/>
        <v>6.167014983534691</v>
      </c>
      <c r="L100" s="41">
        <v>400</v>
      </c>
      <c r="M100" s="5">
        <v>4</v>
      </c>
      <c r="N100" s="42">
        <v>45474</v>
      </c>
      <c r="O100" s="47">
        <v>2584</v>
      </c>
      <c r="P100" s="47">
        <v>6472</v>
      </c>
      <c r="Q100" s="67">
        <v>0.90300000000000002</v>
      </c>
      <c r="R100" s="71">
        <v>1259.7</v>
      </c>
      <c r="S100" s="75">
        <v>3639</v>
      </c>
      <c r="T100" s="51">
        <v>641540</v>
      </c>
      <c r="U100" s="58">
        <v>4.95</v>
      </c>
      <c r="V100" s="58">
        <v>5.9</v>
      </c>
      <c r="W100" s="5">
        <v>3.5</v>
      </c>
      <c r="X100" s="53">
        <v>2.3069999999999999</v>
      </c>
      <c r="Y100" s="62">
        <v>14.6</v>
      </c>
      <c r="Z100" s="5">
        <v>76</v>
      </c>
      <c r="AA100" s="62">
        <v>1.1000000000000001</v>
      </c>
      <c r="AB100" s="5">
        <v>88</v>
      </c>
      <c r="AC100" s="5">
        <v>51</v>
      </c>
      <c r="AD100" s="5">
        <v>35</v>
      </c>
      <c r="AE100" s="43">
        <v>5.5</v>
      </c>
    </row>
    <row r="101" spans="1:31" x14ac:dyDescent="0.2">
      <c r="A101" s="1">
        <v>10</v>
      </c>
      <c r="B101" s="1" t="s">
        <v>54</v>
      </c>
      <c r="C101" s="28">
        <v>2.3889999999999998</v>
      </c>
      <c r="D101" s="1">
        <v>19</v>
      </c>
      <c r="E101" s="26">
        <v>2</v>
      </c>
      <c r="F101" s="26">
        <v>0</v>
      </c>
      <c r="G101" s="21">
        <v>24.018000000000001</v>
      </c>
      <c r="H101" s="22">
        <v>13.279</v>
      </c>
      <c r="I101" s="23">
        <v>24.1265</v>
      </c>
      <c r="J101" s="24">
        <f t="shared" si="3"/>
        <v>2.2141507259737265</v>
      </c>
      <c r="K101" s="24">
        <f t="shared" si="2"/>
        <v>7.318931520563976</v>
      </c>
      <c r="L101" s="33">
        <v>0</v>
      </c>
      <c r="Q101" s="65"/>
      <c r="R101" s="69"/>
      <c r="S101" s="74"/>
      <c r="T101" s="49"/>
      <c r="U101" s="56">
        <v>4.95</v>
      </c>
      <c r="V101" s="56">
        <v>5.9</v>
      </c>
      <c r="W101" s="1">
        <v>3.5</v>
      </c>
      <c r="X101" s="28">
        <v>2.3069999999999999</v>
      </c>
      <c r="Y101" s="60">
        <v>14.6</v>
      </c>
      <c r="Z101" s="1">
        <v>76</v>
      </c>
      <c r="AA101" s="60">
        <v>1.1000000000000001</v>
      </c>
      <c r="AB101" s="1">
        <v>88</v>
      </c>
      <c r="AC101" s="1">
        <v>51</v>
      </c>
      <c r="AD101" s="1">
        <v>35</v>
      </c>
      <c r="AE101" s="36">
        <v>5.5</v>
      </c>
    </row>
    <row r="102" spans="1:31" x14ac:dyDescent="0.2">
      <c r="A102" s="1">
        <v>10</v>
      </c>
      <c r="B102" s="1" t="s">
        <v>54</v>
      </c>
      <c r="C102" s="28">
        <v>2.3889999999999998</v>
      </c>
      <c r="D102" s="1">
        <v>19</v>
      </c>
      <c r="E102" s="1">
        <v>2</v>
      </c>
      <c r="F102" s="1">
        <v>1</v>
      </c>
      <c r="G102" s="11">
        <v>2.7985000000000002</v>
      </c>
      <c r="H102" s="12">
        <v>1.5489999999999999</v>
      </c>
      <c r="I102" s="13">
        <v>2.8</v>
      </c>
      <c r="J102" s="18">
        <f t="shared" si="3"/>
        <v>2.2370103916866508</v>
      </c>
      <c r="K102" s="18">
        <f t="shared" si="2"/>
        <v>6.3620597870803213</v>
      </c>
      <c r="L102" s="33">
        <v>400</v>
      </c>
      <c r="M102" s="1">
        <v>1</v>
      </c>
      <c r="N102" s="38">
        <v>45475</v>
      </c>
      <c r="O102" s="44">
        <v>2529</v>
      </c>
      <c r="P102" s="44">
        <v>6315</v>
      </c>
      <c r="Q102" s="65">
        <v>0.84599999999999997</v>
      </c>
      <c r="R102" s="69">
        <v>1267.7</v>
      </c>
      <c r="S102" s="74">
        <v>1894</v>
      </c>
      <c r="T102" s="49">
        <v>275000</v>
      </c>
      <c r="U102" s="56">
        <v>4.95</v>
      </c>
      <c r="V102" s="56">
        <v>5.9</v>
      </c>
      <c r="W102" s="1">
        <v>3.5</v>
      </c>
      <c r="X102" s="28">
        <v>2.3069999999999999</v>
      </c>
      <c r="Y102" s="60">
        <v>14.6</v>
      </c>
      <c r="Z102" s="1">
        <v>76</v>
      </c>
      <c r="AA102" s="60">
        <v>1.1000000000000001</v>
      </c>
      <c r="AB102" s="1">
        <v>88</v>
      </c>
      <c r="AC102" s="1">
        <v>51</v>
      </c>
      <c r="AD102" s="1">
        <v>35</v>
      </c>
      <c r="AE102" s="36">
        <v>5.5</v>
      </c>
    </row>
    <row r="103" spans="1:31" x14ac:dyDescent="0.2">
      <c r="A103" s="1">
        <v>10</v>
      </c>
      <c r="B103" s="1" t="s">
        <v>54</v>
      </c>
      <c r="C103" s="28">
        <v>2.3889999999999998</v>
      </c>
      <c r="D103" s="1">
        <v>19</v>
      </c>
      <c r="E103" s="1">
        <v>2</v>
      </c>
      <c r="F103" s="1">
        <v>2</v>
      </c>
      <c r="G103" s="11">
        <v>2.8109999999999999</v>
      </c>
      <c r="H103" s="12">
        <v>1.546</v>
      </c>
      <c r="I103" s="13">
        <v>2.806</v>
      </c>
      <c r="J103" s="18">
        <f t="shared" si="3"/>
        <v>2.230952380952381</v>
      </c>
      <c r="K103" s="18">
        <f t="shared" si="2"/>
        <v>6.6156391397077741</v>
      </c>
      <c r="L103" s="33">
        <v>400</v>
      </c>
      <c r="M103" s="1">
        <v>2</v>
      </c>
      <c r="N103" s="38">
        <v>45476</v>
      </c>
      <c r="O103" s="44">
        <v>2664</v>
      </c>
      <c r="P103" s="44">
        <v>6670</v>
      </c>
      <c r="Q103" s="65">
        <v>0.88</v>
      </c>
      <c r="R103" s="69">
        <v>1314.5</v>
      </c>
      <c r="S103" s="74">
        <v>3924</v>
      </c>
      <c r="T103" s="49">
        <v>316070</v>
      </c>
      <c r="U103" s="56">
        <v>4.95</v>
      </c>
      <c r="V103" s="56">
        <v>5.9</v>
      </c>
      <c r="W103" s="1">
        <v>3.5</v>
      </c>
      <c r="X103" s="28">
        <v>2.3069999999999999</v>
      </c>
      <c r="Y103" s="60">
        <v>14.6</v>
      </c>
      <c r="Z103" s="1">
        <v>76</v>
      </c>
      <c r="AA103" s="60">
        <v>1.1000000000000001</v>
      </c>
      <c r="AB103" s="1">
        <v>88</v>
      </c>
      <c r="AC103" s="1">
        <v>51</v>
      </c>
      <c r="AD103" s="1">
        <v>35</v>
      </c>
      <c r="AE103" s="36">
        <v>5.5</v>
      </c>
    </row>
    <row r="104" spans="1:31" x14ac:dyDescent="0.2">
      <c r="A104" s="1">
        <v>10</v>
      </c>
      <c r="B104" s="1" t="s">
        <v>54</v>
      </c>
      <c r="C104" s="28">
        <v>2.3889999999999998</v>
      </c>
      <c r="D104" s="1">
        <v>19</v>
      </c>
      <c r="E104" s="1">
        <v>2</v>
      </c>
      <c r="F104" s="1">
        <v>3</v>
      </c>
      <c r="G104" s="11">
        <v>2.786</v>
      </c>
      <c r="H104" s="12">
        <v>1.5488999999999999</v>
      </c>
      <c r="I104" s="13">
        <v>2.7949999999999999</v>
      </c>
      <c r="J104" s="18">
        <f t="shared" si="3"/>
        <v>2.2357756199341949</v>
      </c>
      <c r="K104" s="18">
        <f t="shared" si="2"/>
        <v>6.4137455029637858</v>
      </c>
      <c r="L104" s="33"/>
      <c r="Q104" s="65"/>
      <c r="R104" s="69"/>
      <c r="S104" s="74"/>
      <c r="T104" s="49"/>
      <c r="U104" s="56">
        <v>4.95</v>
      </c>
      <c r="V104" s="56">
        <v>5.9</v>
      </c>
      <c r="W104" s="1">
        <v>3.5</v>
      </c>
      <c r="X104" s="28">
        <v>2.3069999999999999</v>
      </c>
      <c r="Y104" s="60">
        <v>14.6</v>
      </c>
      <c r="Z104" s="1">
        <v>76</v>
      </c>
      <c r="AA104" s="60">
        <v>1.1000000000000001</v>
      </c>
      <c r="AB104" s="1">
        <v>88</v>
      </c>
      <c r="AC104" s="1">
        <v>51</v>
      </c>
      <c r="AD104" s="1">
        <v>35</v>
      </c>
      <c r="AE104" s="36">
        <v>5.5</v>
      </c>
    </row>
    <row r="105" spans="1:31" ht="16" thickBot="1" x14ac:dyDescent="0.25">
      <c r="A105" s="1">
        <v>10</v>
      </c>
      <c r="B105" s="1" t="s">
        <v>54</v>
      </c>
      <c r="C105" s="29">
        <v>2.3889999999999998</v>
      </c>
      <c r="D105" s="2">
        <v>19</v>
      </c>
      <c r="E105" s="2">
        <v>2</v>
      </c>
      <c r="F105" s="2">
        <v>4</v>
      </c>
      <c r="G105" s="16">
        <v>2.7930000000000001</v>
      </c>
      <c r="H105" s="10">
        <v>1.552</v>
      </c>
      <c r="I105" s="17">
        <v>2.8050000000000002</v>
      </c>
      <c r="J105" s="20">
        <f t="shared" si="3"/>
        <v>2.2290502793296088</v>
      </c>
      <c r="K105" s="20">
        <f t="shared" si="2"/>
        <v>6.6952582951189221</v>
      </c>
      <c r="L105" s="34"/>
      <c r="M105" s="2"/>
      <c r="N105" s="39"/>
      <c r="O105" s="46"/>
      <c r="P105" s="46"/>
      <c r="Q105" s="66"/>
      <c r="R105" s="70"/>
      <c r="S105" s="76"/>
      <c r="T105" s="50"/>
      <c r="U105" s="57">
        <v>4.95</v>
      </c>
      <c r="V105" s="57">
        <v>5.9</v>
      </c>
      <c r="W105" s="2">
        <v>3.5</v>
      </c>
      <c r="X105" s="29">
        <v>2.3069999999999999</v>
      </c>
      <c r="Y105" s="61">
        <v>14.6</v>
      </c>
      <c r="Z105" s="2">
        <v>76</v>
      </c>
      <c r="AA105" s="61">
        <v>1.1000000000000001</v>
      </c>
      <c r="AB105" s="2">
        <v>88</v>
      </c>
      <c r="AC105" s="2">
        <v>51</v>
      </c>
      <c r="AD105" s="2">
        <v>35</v>
      </c>
      <c r="AE105" s="4">
        <v>5.5</v>
      </c>
    </row>
    <row r="106" spans="1:31" x14ac:dyDescent="0.2">
      <c r="A106" s="1">
        <v>11</v>
      </c>
      <c r="B106" s="1" t="s">
        <v>55</v>
      </c>
      <c r="C106" s="28">
        <v>2.3730000000000002</v>
      </c>
      <c r="D106" s="1">
        <v>12.5</v>
      </c>
      <c r="E106" s="26">
        <v>1</v>
      </c>
      <c r="F106" s="26">
        <v>0</v>
      </c>
      <c r="G106" s="21">
        <v>23.834</v>
      </c>
      <c r="H106" s="22">
        <v>13.231999999999999</v>
      </c>
      <c r="I106" s="23">
        <v>24.151499999999999</v>
      </c>
      <c r="J106" s="24">
        <f t="shared" si="3"/>
        <v>2.182700673107743</v>
      </c>
      <c r="K106" s="24">
        <f t="shared" si="2"/>
        <v>8.0193563797832823</v>
      </c>
      <c r="L106" s="33">
        <v>0</v>
      </c>
      <c r="Q106" s="65"/>
      <c r="R106" s="69"/>
      <c r="S106" s="74"/>
      <c r="T106" s="49"/>
      <c r="U106" s="56">
        <v>5.3</v>
      </c>
      <c r="V106" s="56">
        <v>6.1</v>
      </c>
      <c r="W106" s="1">
        <v>3.3</v>
      </c>
      <c r="X106" s="28">
        <v>2.2959999999999998</v>
      </c>
      <c r="Y106" s="60">
        <v>15.1</v>
      </c>
      <c r="Z106" s="1">
        <v>78</v>
      </c>
      <c r="AA106" s="60">
        <v>1.1000000000000001</v>
      </c>
      <c r="AB106" s="1">
        <v>93</v>
      </c>
      <c r="AC106" s="1">
        <v>58</v>
      </c>
      <c r="AD106" s="1">
        <v>40</v>
      </c>
      <c r="AE106" s="36">
        <v>5.8</v>
      </c>
    </row>
    <row r="107" spans="1:31" x14ac:dyDescent="0.2">
      <c r="A107" s="1">
        <v>11</v>
      </c>
      <c r="B107" s="1" t="s">
        <v>55</v>
      </c>
      <c r="C107" s="28">
        <v>2.3730000000000002</v>
      </c>
      <c r="D107" s="1">
        <v>12.5</v>
      </c>
      <c r="E107" s="1">
        <v>1</v>
      </c>
      <c r="F107" s="1">
        <v>1</v>
      </c>
      <c r="G107" s="11">
        <v>2.7284999999999999</v>
      </c>
      <c r="H107" s="12">
        <v>1.5</v>
      </c>
      <c r="I107" s="13">
        <v>2.73</v>
      </c>
      <c r="J107" s="18">
        <f t="shared" si="3"/>
        <v>2.2182926829268292</v>
      </c>
      <c r="K107" s="18">
        <f t="shared" si="2"/>
        <v>6.5194823882499309</v>
      </c>
      <c r="L107" s="33">
        <v>400</v>
      </c>
      <c r="M107" s="1">
        <v>1</v>
      </c>
      <c r="N107" s="38">
        <v>45476</v>
      </c>
      <c r="O107" s="44">
        <v>1918</v>
      </c>
      <c r="P107" s="44">
        <v>4806</v>
      </c>
      <c r="Q107" s="65">
        <v>0.66400000000000003</v>
      </c>
      <c r="R107" s="69">
        <v>993.5</v>
      </c>
      <c r="S107" s="74">
        <v>2318</v>
      </c>
      <c r="T107" s="49">
        <v>563500</v>
      </c>
      <c r="U107" s="56">
        <v>5.3</v>
      </c>
      <c r="V107" s="56">
        <v>6.1</v>
      </c>
      <c r="W107" s="1">
        <v>3.3</v>
      </c>
      <c r="X107" s="28">
        <v>2.2959999999999998</v>
      </c>
      <c r="Y107" s="60">
        <v>15.1</v>
      </c>
      <c r="Z107" s="1">
        <v>78</v>
      </c>
      <c r="AA107" s="60">
        <v>1.1000000000000001</v>
      </c>
      <c r="AB107" s="1">
        <v>93</v>
      </c>
      <c r="AC107" s="1">
        <v>58</v>
      </c>
      <c r="AD107" s="1">
        <v>40</v>
      </c>
      <c r="AE107" s="36">
        <v>5.8</v>
      </c>
    </row>
    <row r="108" spans="1:31" x14ac:dyDescent="0.2">
      <c r="A108" s="1">
        <v>11</v>
      </c>
      <c r="B108" s="1" t="s">
        <v>55</v>
      </c>
      <c r="C108" s="28">
        <v>2.3730000000000002</v>
      </c>
      <c r="D108" s="1">
        <v>12.5</v>
      </c>
      <c r="E108" s="1">
        <v>1</v>
      </c>
      <c r="F108" s="1">
        <v>2</v>
      </c>
      <c r="G108" s="11">
        <v>2.7715000000000001</v>
      </c>
      <c r="H108" s="12">
        <v>1.5365</v>
      </c>
      <c r="I108" s="13">
        <v>2.7845</v>
      </c>
      <c r="J108" s="18">
        <f t="shared" si="3"/>
        <v>2.2207532051282053</v>
      </c>
      <c r="K108" s="18">
        <f t="shared" si="2"/>
        <v>6.4157941370330818</v>
      </c>
      <c r="L108" s="33">
        <v>600</v>
      </c>
      <c r="M108" s="1">
        <v>2</v>
      </c>
      <c r="N108" s="38">
        <v>45477</v>
      </c>
      <c r="O108" s="44">
        <v>2861</v>
      </c>
      <c r="P108" s="44">
        <v>4747</v>
      </c>
      <c r="Q108" s="65">
        <v>1.4810000000000001</v>
      </c>
      <c r="R108" s="69">
        <v>1509.1</v>
      </c>
      <c r="S108" s="74">
        <v>2083</v>
      </c>
      <c r="T108" s="49">
        <v>56930</v>
      </c>
      <c r="U108" s="56">
        <v>5.3</v>
      </c>
      <c r="V108" s="56">
        <v>6.1</v>
      </c>
      <c r="W108" s="1">
        <v>3.3</v>
      </c>
      <c r="X108" s="28">
        <v>2.2959999999999998</v>
      </c>
      <c r="Y108" s="60">
        <v>15.1</v>
      </c>
      <c r="Z108" s="1">
        <v>78</v>
      </c>
      <c r="AA108" s="60">
        <v>1.1000000000000001</v>
      </c>
      <c r="AB108" s="1">
        <v>93</v>
      </c>
      <c r="AC108" s="1">
        <v>58</v>
      </c>
      <c r="AD108" s="1">
        <v>40</v>
      </c>
      <c r="AE108" s="36">
        <v>5.8</v>
      </c>
    </row>
    <row r="109" spans="1:31" x14ac:dyDescent="0.2">
      <c r="A109" s="1">
        <v>11</v>
      </c>
      <c r="B109" s="1" t="s">
        <v>55</v>
      </c>
      <c r="C109" s="28">
        <v>2.3730000000000002</v>
      </c>
      <c r="D109" s="1">
        <v>12.5</v>
      </c>
      <c r="E109" s="1">
        <v>1</v>
      </c>
      <c r="F109" s="1">
        <v>3</v>
      </c>
      <c r="G109" s="11">
        <v>2.7875000000000001</v>
      </c>
      <c r="H109" s="12">
        <v>1.5425</v>
      </c>
      <c r="I109" s="13">
        <v>2.7959999999999998</v>
      </c>
      <c r="J109" s="18">
        <f t="shared" si="3"/>
        <v>2.2237734343837259</v>
      </c>
      <c r="K109" s="18">
        <f t="shared" si="2"/>
        <v>6.2885194107153097</v>
      </c>
      <c r="L109" s="33">
        <v>600</v>
      </c>
      <c r="M109" s="1">
        <v>3</v>
      </c>
      <c r="N109" s="38">
        <v>45477</v>
      </c>
      <c r="O109" s="44">
        <v>3001</v>
      </c>
      <c r="P109" s="44">
        <v>5010</v>
      </c>
      <c r="Q109" s="65">
        <v>1.6579999999999999</v>
      </c>
      <c r="R109" s="69">
        <v>1580.1</v>
      </c>
      <c r="S109" s="74">
        <v>1502</v>
      </c>
      <c r="T109" s="49">
        <v>104470</v>
      </c>
      <c r="U109" s="56">
        <v>5.3</v>
      </c>
      <c r="V109" s="56">
        <v>6.1</v>
      </c>
      <c r="W109" s="1">
        <v>3.3</v>
      </c>
      <c r="X109" s="28">
        <v>2.2959999999999998</v>
      </c>
      <c r="Y109" s="60">
        <v>15.1</v>
      </c>
      <c r="Z109" s="1">
        <v>78</v>
      </c>
      <c r="AA109" s="60">
        <v>1.1000000000000001</v>
      </c>
      <c r="AB109" s="1">
        <v>93</v>
      </c>
      <c r="AC109" s="1">
        <v>58</v>
      </c>
      <c r="AD109" s="1">
        <v>40</v>
      </c>
      <c r="AE109" s="36">
        <v>5.8</v>
      </c>
    </row>
    <row r="110" spans="1:31" x14ac:dyDescent="0.2">
      <c r="A110" s="1">
        <v>11</v>
      </c>
      <c r="B110" s="1" t="s">
        <v>55</v>
      </c>
      <c r="C110" s="28">
        <v>2.3730000000000002</v>
      </c>
      <c r="D110" s="1">
        <v>12.5</v>
      </c>
      <c r="E110" s="5">
        <v>1</v>
      </c>
      <c r="F110" s="5">
        <v>4</v>
      </c>
      <c r="G110" s="14">
        <v>2.8140000000000001</v>
      </c>
      <c r="H110" s="9">
        <v>1.5575000000000001</v>
      </c>
      <c r="I110" s="15">
        <v>2.823</v>
      </c>
      <c r="J110" s="19">
        <f t="shared" si="3"/>
        <v>2.2236270248913477</v>
      </c>
      <c r="K110" s="19">
        <f t="shared" si="2"/>
        <v>6.2946892165466668</v>
      </c>
      <c r="L110" s="41">
        <v>600</v>
      </c>
      <c r="M110" s="5">
        <v>4</v>
      </c>
      <c r="N110" s="42">
        <v>45477</v>
      </c>
      <c r="O110" s="47">
        <v>3200</v>
      </c>
      <c r="P110" s="47">
        <v>5324</v>
      </c>
      <c r="Q110" s="67">
        <v>1.76</v>
      </c>
      <c r="R110" s="71">
        <v>1613.3</v>
      </c>
      <c r="S110" s="75">
        <v>2887</v>
      </c>
      <c r="T110" s="51">
        <v>36330</v>
      </c>
      <c r="U110" s="58">
        <v>5.3</v>
      </c>
      <c r="V110" s="58">
        <v>6.1</v>
      </c>
      <c r="W110" s="5">
        <v>3.3</v>
      </c>
      <c r="X110" s="53">
        <v>2.2959999999999998</v>
      </c>
      <c r="Y110" s="62">
        <v>15.1</v>
      </c>
      <c r="Z110" s="5">
        <v>78</v>
      </c>
      <c r="AA110" s="62">
        <v>1.1000000000000001</v>
      </c>
      <c r="AB110" s="5">
        <v>93</v>
      </c>
      <c r="AC110" s="5">
        <v>58</v>
      </c>
      <c r="AD110" s="5">
        <v>40</v>
      </c>
      <c r="AE110" s="43">
        <v>5.8</v>
      </c>
    </row>
    <row r="111" spans="1:31" x14ac:dyDescent="0.2">
      <c r="A111" s="1">
        <v>11</v>
      </c>
      <c r="B111" s="1" t="s">
        <v>56</v>
      </c>
      <c r="C111" s="28">
        <v>2.3730000000000002</v>
      </c>
      <c r="D111" s="1">
        <v>12.5</v>
      </c>
      <c r="E111" s="26">
        <v>2</v>
      </c>
      <c r="F111" s="26">
        <v>0</v>
      </c>
      <c r="G111" s="21">
        <v>24.012499999999999</v>
      </c>
      <c r="H111" s="22">
        <v>13.335000000000001</v>
      </c>
      <c r="I111" s="23">
        <v>24.263999999999999</v>
      </c>
      <c r="J111" s="24">
        <f t="shared" si="3"/>
        <v>2.1971360600237904</v>
      </c>
      <c r="K111" s="24">
        <f t="shared" si="2"/>
        <v>7.4110383470800567</v>
      </c>
      <c r="L111" s="33">
        <v>0</v>
      </c>
      <c r="Q111" s="65"/>
      <c r="R111" s="69"/>
      <c r="S111" s="74"/>
      <c r="T111" s="49"/>
      <c r="U111" s="56">
        <v>5.3</v>
      </c>
      <c r="V111" s="56">
        <v>6.1</v>
      </c>
      <c r="W111" s="1">
        <v>3.3</v>
      </c>
      <c r="X111" s="28">
        <v>2.2959999999999998</v>
      </c>
      <c r="Y111" s="60">
        <v>15.1</v>
      </c>
      <c r="Z111" s="1">
        <v>78</v>
      </c>
      <c r="AA111" s="60">
        <v>1.1000000000000001</v>
      </c>
      <c r="AB111" s="1">
        <v>93</v>
      </c>
      <c r="AC111" s="1">
        <v>58</v>
      </c>
      <c r="AD111" s="1">
        <v>40</v>
      </c>
      <c r="AE111" s="36">
        <v>5.8</v>
      </c>
    </row>
    <row r="112" spans="1:31" x14ac:dyDescent="0.2">
      <c r="A112" s="1">
        <v>11</v>
      </c>
      <c r="B112" s="1" t="s">
        <v>56</v>
      </c>
      <c r="C112" s="28">
        <v>2.3730000000000002</v>
      </c>
      <c r="D112" s="1">
        <v>12.5</v>
      </c>
      <c r="E112" s="1">
        <v>2</v>
      </c>
      <c r="F112" s="1">
        <v>1</v>
      </c>
      <c r="G112" s="11">
        <v>2.81</v>
      </c>
      <c r="H112" s="12">
        <v>1.5645</v>
      </c>
      <c r="I112" s="13">
        <v>2.8294999999999999</v>
      </c>
      <c r="J112" s="18">
        <f t="shared" si="3"/>
        <v>2.2213438735177866</v>
      </c>
      <c r="K112" s="18">
        <f t="shared" si="2"/>
        <v>6.3909029280326042</v>
      </c>
      <c r="L112" s="33">
        <v>400</v>
      </c>
      <c r="M112" s="1">
        <v>1</v>
      </c>
      <c r="N112" s="38">
        <v>45477</v>
      </c>
      <c r="O112" s="44">
        <v>2893</v>
      </c>
      <c r="P112" s="44">
        <v>7228</v>
      </c>
      <c r="Q112" s="65">
        <v>0.67</v>
      </c>
      <c r="R112" s="69">
        <v>1452.7</v>
      </c>
      <c r="S112" s="74">
        <v>2159</v>
      </c>
      <c r="T112" s="49">
        <v>350000</v>
      </c>
      <c r="U112" s="56">
        <v>5.3</v>
      </c>
      <c r="V112" s="56">
        <v>6.1</v>
      </c>
      <c r="W112" s="1">
        <v>3.3</v>
      </c>
      <c r="X112" s="28">
        <v>2.2959999999999998</v>
      </c>
      <c r="Y112" s="60">
        <v>15.1</v>
      </c>
      <c r="Z112" s="1">
        <v>78</v>
      </c>
      <c r="AA112" s="60">
        <v>1.1000000000000001</v>
      </c>
      <c r="AB112" s="1">
        <v>93</v>
      </c>
      <c r="AC112" s="1">
        <v>58</v>
      </c>
      <c r="AD112" s="1">
        <v>40</v>
      </c>
      <c r="AE112" s="36">
        <v>5.8</v>
      </c>
    </row>
    <row r="113" spans="1:31" x14ac:dyDescent="0.2">
      <c r="A113" s="1">
        <v>11</v>
      </c>
      <c r="B113" s="1" t="s">
        <v>56</v>
      </c>
      <c r="C113" s="28">
        <v>2.3730000000000002</v>
      </c>
      <c r="D113" s="1">
        <v>12.5</v>
      </c>
      <c r="E113" s="1">
        <v>2</v>
      </c>
      <c r="F113" s="1">
        <v>2</v>
      </c>
      <c r="G113" s="11">
        <v>2.7965</v>
      </c>
      <c r="H113" s="12">
        <v>1.5565</v>
      </c>
      <c r="I113" s="13">
        <v>2.8170000000000002</v>
      </c>
      <c r="J113" s="18">
        <f t="shared" si="3"/>
        <v>2.2185640618802061</v>
      </c>
      <c r="K113" s="18">
        <f t="shared" si="2"/>
        <v>6.5080462755918278</v>
      </c>
      <c r="L113" s="33">
        <v>400</v>
      </c>
      <c r="M113" s="1">
        <v>2</v>
      </c>
      <c r="N113" s="38">
        <v>45478</v>
      </c>
      <c r="O113" s="44">
        <v>2607</v>
      </c>
      <c r="P113" s="44">
        <v>6515</v>
      </c>
      <c r="Q113" s="65">
        <v>0.754</v>
      </c>
      <c r="R113" s="69">
        <v>1347</v>
      </c>
      <c r="S113" s="74">
        <v>4126</v>
      </c>
      <c r="T113" s="49">
        <v>306700</v>
      </c>
      <c r="U113" s="56">
        <v>5.3</v>
      </c>
      <c r="V113" s="56">
        <v>6.1</v>
      </c>
      <c r="W113" s="1">
        <v>3.3</v>
      </c>
      <c r="X113" s="28">
        <v>2.2959999999999998</v>
      </c>
      <c r="Y113" s="60">
        <v>15.1</v>
      </c>
      <c r="Z113" s="1">
        <v>78</v>
      </c>
      <c r="AA113" s="60">
        <v>1.1000000000000001</v>
      </c>
      <c r="AB113" s="1">
        <v>93</v>
      </c>
      <c r="AC113" s="1">
        <v>58</v>
      </c>
      <c r="AD113" s="1">
        <v>40</v>
      </c>
      <c r="AE113" s="36">
        <v>5.8</v>
      </c>
    </row>
    <row r="114" spans="1:31" x14ac:dyDescent="0.2">
      <c r="A114" s="1">
        <v>11</v>
      </c>
      <c r="B114" s="1" t="s">
        <v>56</v>
      </c>
      <c r="C114" s="28">
        <v>2.3730000000000002</v>
      </c>
      <c r="D114" s="1">
        <v>12.5</v>
      </c>
      <c r="E114" s="1">
        <v>2</v>
      </c>
      <c r="F114" s="1">
        <v>3</v>
      </c>
      <c r="G114" s="11">
        <v>2.8134999999999999</v>
      </c>
      <c r="H114" s="12">
        <v>1.5625</v>
      </c>
      <c r="I114" s="13">
        <v>2.8279999999999998</v>
      </c>
      <c r="J114" s="18">
        <f t="shared" si="3"/>
        <v>2.2232319241406562</v>
      </c>
      <c r="K114" s="18">
        <f t="shared" si="2"/>
        <v>6.311339058548004</v>
      </c>
      <c r="L114" s="33"/>
      <c r="Q114" s="65"/>
      <c r="R114" s="69"/>
      <c r="S114" s="74"/>
      <c r="T114" s="49"/>
      <c r="U114" s="56">
        <v>5.3</v>
      </c>
      <c r="V114" s="56">
        <v>6.1</v>
      </c>
      <c r="W114" s="1">
        <v>3.3</v>
      </c>
      <c r="X114" s="28">
        <v>2.2959999999999998</v>
      </c>
      <c r="Y114" s="60">
        <v>15.1</v>
      </c>
      <c r="Z114" s="1">
        <v>78</v>
      </c>
      <c r="AA114" s="60">
        <v>1.1000000000000001</v>
      </c>
      <c r="AB114" s="1">
        <v>93</v>
      </c>
      <c r="AC114" s="1">
        <v>58</v>
      </c>
      <c r="AD114" s="1">
        <v>40</v>
      </c>
      <c r="AE114" s="36">
        <v>5.8</v>
      </c>
    </row>
    <row r="115" spans="1:31" ht="16" thickBot="1" x14ac:dyDescent="0.25">
      <c r="A115" s="1">
        <v>11</v>
      </c>
      <c r="B115" s="1" t="s">
        <v>56</v>
      </c>
      <c r="C115" s="29">
        <v>2.3730000000000002</v>
      </c>
      <c r="D115" s="2">
        <v>12.5</v>
      </c>
      <c r="E115" s="2">
        <v>2</v>
      </c>
      <c r="F115" s="2">
        <v>4</v>
      </c>
      <c r="G115" s="16">
        <v>2.8340000000000001</v>
      </c>
      <c r="H115" s="10">
        <v>1.5734999999999999</v>
      </c>
      <c r="I115" s="17">
        <v>2.8490000000000002</v>
      </c>
      <c r="J115" s="20">
        <f t="shared" si="3"/>
        <v>2.2218737749901996</v>
      </c>
      <c r="K115" s="20">
        <f t="shared" si="2"/>
        <v>6.368572482503188</v>
      </c>
      <c r="L115" s="34"/>
      <c r="M115" s="2"/>
      <c r="N115" s="39"/>
      <c r="O115" s="46"/>
      <c r="P115" s="46"/>
      <c r="Q115" s="66"/>
      <c r="R115" s="70"/>
      <c r="S115" s="76"/>
      <c r="T115" s="50"/>
      <c r="U115" s="57">
        <v>5.3</v>
      </c>
      <c r="V115" s="57">
        <v>6.1</v>
      </c>
      <c r="W115" s="2">
        <v>3.3</v>
      </c>
      <c r="X115" s="29">
        <v>2.2959999999999998</v>
      </c>
      <c r="Y115" s="61">
        <v>15.1</v>
      </c>
      <c r="Z115" s="2">
        <v>78</v>
      </c>
      <c r="AA115" s="61">
        <v>1.1000000000000001</v>
      </c>
      <c r="AB115" s="2">
        <v>93</v>
      </c>
      <c r="AC115" s="2">
        <v>58</v>
      </c>
      <c r="AD115" s="2">
        <v>40</v>
      </c>
      <c r="AE115" s="4">
        <v>5.8</v>
      </c>
    </row>
    <row r="116" spans="1:31" x14ac:dyDescent="0.2">
      <c r="A116" s="1">
        <v>12</v>
      </c>
      <c r="B116" s="1" t="s">
        <v>57</v>
      </c>
      <c r="C116" s="28">
        <v>2.387</v>
      </c>
      <c r="D116" s="1">
        <v>19</v>
      </c>
      <c r="E116" s="26">
        <v>1</v>
      </c>
      <c r="F116" s="26">
        <v>0</v>
      </c>
      <c r="G116" s="21">
        <v>24.043500000000002</v>
      </c>
      <c r="H116" s="22">
        <v>13.394</v>
      </c>
      <c r="I116" s="23">
        <v>24.3125</v>
      </c>
      <c r="J116" s="24">
        <f t="shared" si="3"/>
        <v>2.2020881989284242</v>
      </c>
      <c r="K116" s="24">
        <f t="shared" si="2"/>
        <v>7.7466192321565046</v>
      </c>
      <c r="L116" s="33">
        <v>0</v>
      </c>
      <c r="Q116" s="65"/>
      <c r="R116" s="69"/>
      <c r="S116" s="74"/>
      <c r="T116" s="49"/>
      <c r="U116" s="56">
        <v>5</v>
      </c>
      <c r="V116" s="56">
        <v>6</v>
      </c>
      <c r="W116" s="1">
        <v>3.4</v>
      </c>
      <c r="X116" s="28">
        <v>2.3069999999999999</v>
      </c>
      <c r="Y116" s="60">
        <v>14.6</v>
      </c>
      <c r="Z116" s="1">
        <v>77</v>
      </c>
      <c r="AA116" s="60">
        <v>1.1000000000000001</v>
      </c>
      <c r="AB116" s="1">
        <v>87</v>
      </c>
      <c r="AC116" s="1">
        <v>56</v>
      </c>
      <c r="AD116" s="1">
        <v>39</v>
      </c>
      <c r="AE116" s="36">
        <v>5.7</v>
      </c>
    </row>
    <row r="117" spans="1:31" x14ac:dyDescent="0.2">
      <c r="A117" s="1">
        <v>12</v>
      </c>
      <c r="B117" s="1" t="s">
        <v>57</v>
      </c>
      <c r="C117" s="28">
        <v>2.387</v>
      </c>
      <c r="D117" s="1">
        <v>19</v>
      </c>
      <c r="E117" s="1">
        <v>1</v>
      </c>
      <c r="F117" s="1">
        <v>1</v>
      </c>
      <c r="G117" s="11">
        <v>2.7555000000000001</v>
      </c>
      <c r="H117" s="12">
        <v>1.5389999999999999</v>
      </c>
      <c r="I117" s="13">
        <v>2.77</v>
      </c>
      <c r="J117" s="18">
        <f t="shared" si="3"/>
        <v>2.2384240454914703</v>
      </c>
      <c r="K117" s="18">
        <f t="shared" si="2"/>
        <v>6.2243801637423379</v>
      </c>
      <c r="L117" s="33">
        <v>400</v>
      </c>
      <c r="M117" s="1">
        <v>1</v>
      </c>
      <c r="N117" s="38">
        <v>45478</v>
      </c>
      <c r="O117" s="44">
        <v>2288</v>
      </c>
      <c r="P117" s="44">
        <v>5709</v>
      </c>
      <c r="Q117" s="65">
        <v>0.80700000000000005</v>
      </c>
      <c r="R117" s="69">
        <v>1146.8</v>
      </c>
      <c r="S117" s="74">
        <v>3387</v>
      </c>
      <c r="T117" s="49">
        <v>435090</v>
      </c>
      <c r="U117" s="56">
        <v>5</v>
      </c>
      <c r="V117" s="56">
        <v>6</v>
      </c>
      <c r="W117" s="1">
        <v>3.4</v>
      </c>
      <c r="X117" s="28">
        <v>2.3069999999999999</v>
      </c>
      <c r="Y117" s="60">
        <v>14.6</v>
      </c>
      <c r="Z117" s="1">
        <v>77</v>
      </c>
      <c r="AA117" s="60">
        <v>1.1000000000000001</v>
      </c>
      <c r="AB117" s="1">
        <v>87</v>
      </c>
      <c r="AC117" s="1">
        <v>56</v>
      </c>
      <c r="AD117" s="1">
        <v>39</v>
      </c>
      <c r="AE117" s="36">
        <v>5.7</v>
      </c>
    </row>
    <row r="118" spans="1:31" x14ac:dyDescent="0.2">
      <c r="A118" s="1">
        <v>12</v>
      </c>
      <c r="B118" s="1" t="s">
        <v>57</v>
      </c>
      <c r="C118" s="28">
        <v>2.387</v>
      </c>
      <c r="D118" s="1">
        <v>19</v>
      </c>
      <c r="E118" s="1">
        <v>1</v>
      </c>
      <c r="F118" s="1">
        <v>2</v>
      </c>
      <c r="G118" s="11">
        <v>2.802</v>
      </c>
      <c r="H118" s="12">
        <v>1.5585</v>
      </c>
      <c r="I118" s="13">
        <v>2.8170000000000002</v>
      </c>
      <c r="J118" s="18">
        <f t="shared" si="3"/>
        <v>2.2264600715137064</v>
      </c>
      <c r="K118" s="18">
        <f t="shared" si="2"/>
        <v>6.7255939876955884</v>
      </c>
      <c r="L118" s="33">
        <v>600</v>
      </c>
      <c r="M118" s="1">
        <v>2</v>
      </c>
      <c r="N118" s="38">
        <v>45479</v>
      </c>
      <c r="O118" s="44">
        <v>3433</v>
      </c>
      <c r="P118" s="44">
        <v>5702</v>
      </c>
      <c r="Q118" s="65">
        <v>1.9850000000000001</v>
      </c>
      <c r="R118" s="69">
        <v>1739.7</v>
      </c>
      <c r="S118" s="74">
        <v>3402</v>
      </c>
      <c r="T118" s="49">
        <v>31530</v>
      </c>
      <c r="U118" s="56">
        <v>5</v>
      </c>
      <c r="V118" s="56">
        <v>6</v>
      </c>
      <c r="W118" s="1">
        <v>3.4</v>
      </c>
      <c r="X118" s="28">
        <v>2.3069999999999999</v>
      </c>
      <c r="Y118" s="60">
        <v>14.6</v>
      </c>
      <c r="Z118" s="1">
        <v>77</v>
      </c>
      <c r="AA118" s="60">
        <v>1.1000000000000001</v>
      </c>
      <c r="AB118" s="1">
        <v>87</v>
      </c>
      <c r="AC118" s="1">
        <v>56</v>
      </c>
      <c r="AD118" s="1">
        <v>39</v>
      </c>
      <c r="AE118" s="36">
        <v>5.7</v>
      </c>
    </row>
    <row r="119" spans="1:31" x14ac:dyDescent="0.2">
      <c r="A119" s="1">
        <v>12</v>
      </c>
      <c r="B119" s="1" t="s">
        <v>57</v>
      </c>
      <c r="C119" s="28">
        <v>2.387</v>
      </c>
      <c r="D119" s="1">
        <v>19</v>
      </c>
      <c r="E119" s="1">
        <v>1</v>
      </c>
      <c r="F119" s="1">
        <v>3</v>
      </c>
      <c r="G119" s="11">
        <v>2.7934999999999999</v>
      </c>
      <c r="H119" s="12">
        <v>1.5620000000000001</v>
      </c>
      <c r="I119" s="13">
        <v>2.8125</v>
      </c>
      <c r="J119" s="18">
        <f t="shared" si="3"/>
        <v>2.2339064374250301</v>
      </c>
      <c r="K119" s="18">
        <f t="shared" si="2"/>
        <v>6.4136389851265125</v>
      </c>
      <c r="L119" s="33">
        <v>600</v>
      </c>
      <c r="M119" s="1">
        <v>3</v>
      </c>
      <c r="N119" s="38">
        <v>45479</v>
      </c>
      <c r="O119" s="44">
        <v>3206</v>
      </c>
      <c r="P119" s="44">
        <v>5332</v>
      </c>
      <c r="Q119" s="65">
        <v>1.75</v>
      </c>
      <c r="R119" s="69">
        <v>1638.7</v>
      </c>
      <c r="S119" s="74">
        <v>2939</v>
      </c>
      <c r="T119" s="49">
        <v>35600</v>
      </c>
      <c r="U119" s="56">
        <v>5</v>
      </c>
      <c r="V119" s="56">
        <v>6</v>
      </c>
      <c r="W119" s="1">
        <v>3.4</v>
      </c>
      <c r="X119" s="28">
        <v>2.3069999999999999</v>
      </c>
      <c r="Y119" s="60">
        <v>14.6</v>
      </c>
      <c r="Z119" s="1">
        <v>77</v>
      </c>
      <c r="AA119" s="60">
        <v>1.1000000000000001</v>
      </c>
      <c r="AB119" s="1">
        <v>87</v>
      </c>
      <c r="AC119" s="1">
        <v>56</v>
      </c>
      <c r="AD119" s="1">
        <v>39</v>
      </c>
      <c r="AE119" s="36">
        <v>5.7</v>
      </c>
    </row>
    <row r="120" spans="1:31" x14ac:dyDescent="0.2">
      <c r="A120" s="1">
        <v>12</v>
      </c>
      <c r="B120" s="1" t="s">
        <v>57</v>
      </c>
      <c r="C120" s="28">
        <v>2.387</v>
      </c>
      <c r="D120" s="1">
        <v>19</v>
      </c>
      <c r="E120" s="5">
        <v>1</v>
      </c>
      <c r="F120" s="5">
        <v>4</v>
      </c>
      <c r="G120" s="14">
        <v>2.722</v>
      </c>
      <c r="H120" s="9">
        <v>1.5229999999999999</v>
      </c>
      <c r="I120" s="15">
        <v>2.742</v>
      </c>
      <c r="J120" s="19">
        <f t="shared" si="3"/>
        <v>2.2329778506972926</v>
      </c>
      <c r="K120" s="19">
        <f t="shared" si="2"/>
        <v>6.4525408170384324</v>
      </c>
      <c r="L120" s="41">
        <v>600</v>
      </c>
      <c r="M120" s="5">
        <v>4</v>
      </c>
      <c r="N120" s="42">
        <v>45479</v>
      </c>
      <c r="O120" s="47">
        <v>3152</v>
      </c>
      <c r="P120" s="47">
        <v>5243</v>
      </c>
      <c r="Q120" s="67">
        <v>1.7549999999999999</v>
      </c>
      <c r="R120" s="71">
        <v>1563.5</v>
      </c>
      <c r="S120" s="75">
        <v>1573</v>
      </c>
      <c r="T120" s="51">
        <v>37500</v>
      </c>
      <c r="U120" s="58">
        <v>5</v>
      </c>
      <c r="V120" s="58">
        <v>6</v>
      </c>
      <c r="W120" s="5">
        <v>3.4</v>
      </c>
      <c r="X120" s="53">
        <v>2.3069999999999999</v>
      </c>
      <c r="Y120" s="62">
        <v>14.6</v>
      </c>
      <c r="Z120" s="5">
        <v>77</v>
      </c>
      <c r="AA120" s="62">
        <v>1.1000000000000001</v>
      </c>
      <c r="AB120" s="5">
        <v>87</v>
      </c>
      <c r="AC120" s="5">
        <v>56</v>
      </c>
      <c r="AD120" s="5">
        <v>39</v>
      </c>
      <c r="AE120" s="43">
        <v>5.7</v>
      </c>
    </row>
    <row r="121" spans="1:31" x14ac:dyDescent="0.2">
      <c r="A121" s="1">
        <v>12</v>
      </c>
      <c r="B121" s="1" t="s">
        <v>58</v>
      </c>
      <c r="C121" s="28">
        <v>2.387</v>
      </c>
      <c r="D121" s="1">
        <v>19</v>
      </c>
      <c r="E121" s="26">
        <v>2</v>
      </c>
      <c r="F121" s="26">
        <v>0</v>
      </c>
      <c r="G121" s="21">
        <v>23.968499999999999</v>
      </c>
      <c r="H121" s="22">
        <v>13.36</v>
      </c>
      <c r="I121" s="23">
        <v>24.222999999999999</v>
      </c>
      <c r="J121" s="24">
        <f t="shared" si="3"/>
        <v>2.2064346865506765</v>
      </c>
      <c r="K121" s="24">
        <f t="shared" si="2"/>
        <v>7.56452926054979</v>
      </c>
      <c r="L121" s="33">
        <v>0</v>
      </c>
      <c r="Q121" s="65"/>
      <c r="R121" s="69"/>
      <c r="S121" s="74"/>
      <c r="T121" s="49"/>
      <c r="U121" s="56">
        <v>5</v>
      </c>
      <c r="V121" s="56">
        <v>6</v>
      </c>
      <c r="W121" s="1">
        <v>3.4</v>
      </c>
      <c r="X121" s="28">
        <v>2.3069999999999999</v>
      </c>
      <c r="Y121" s="60">
        <v>14.6</v>
      </c>
      <c r="Z121" s="1">
        <v>77</v>
      </c>
      <c r="AA121" s="60">
        <v>1.1000000000000001</v>
      </c>
      <c r="AB121" s="1">
        <v>87</v>
      </c>
      <c r="AC121" s="1">
        <v>56</v>
      </c>
      <c r="AD121" s="1">
        <v>39</v>
      </c>
      <c r="AE121" s="36">
        <v>5.7</v>
      </c>
    </row>
    <row r="122" spans="1:31" x14ac:dyDescent="0.2">
      <c r="A122" s="1">
        <v>12</v>
      </c>
      <c r="B122" s="1" t="s">
        <v>58</v>
      </c>
      <c r="C122" s="28">
        <v>2.387</v>
      </c>
      <c r="D122" s="1">
        <v>19</v>
      </c>
      <c r="E122" s="1">
        <v>2</v>
      </c>
      <c r="F122" s="1">
        <v>1</v>
      </c>
      <c r="G122" s="11">
        <v>2.7450000000000001</v>
      </c>
      <c r="H122" s="12">
        <v>1.5409999999999999</v>
      </c>
      <c r="I122" s="13">
        <v>2.7665000000000002</v>
      </c>
      <c r="J122" s="18">
        <f t="shared" si="3"/>
        <v>2.2399020807833532</v>
      </c>
      <c r="K122" s="18">
        <f t="shared" si="2"/>
        <v>6.1624599588038009</v>
      </c>
      <c r="L122" s="33">
        <v>400</v>
      </c>
      <c r="M122" s="1">
        <v>1</v>
      </c>
      <c r="N122" s="38">
        <v>45479</v>
      </c>
      <c r="O122" s="44">
        <v>2271</v>
      </c>
      <c r="P122" s="44">
        <v>5682</v>
      </c>
      <c r="Q122" s="65">
        <v>0.80700000000000005</v>
      </c>
      <c r="R122" s="69">
        <v>1141.8</v>
      </c>
      <c r="S122" s="74">
        <v>3150</v>
      </c>
      <c r="T122" s="49">
        <v>669170</v>
      </c>
      <c r="U122" s="56">
        <v>5</v>
      </c>
      <c r="V122" s="56">
        <v>6</v>
      </c>
      <c r="W122" s="1">
        <v>3.4</v>
      </c>
      <c r="X122" s="28">
        <v>2.3069999999999999</v>
      </c>
      <c r="Y122" s="60">
        <v>14.6</v>
      </c>
      <c r="Z122" s="1">
        <v>77</v>
      </c>
      <c r="AA122" s="60">
        <v>1.1000000000000001</v>
      </c>
      <c r="AB122" s="1">
        <v>87</v>
      </c>
      <c r="AC122" s="1">
        <v>56</v>
      </c>
      <c r="AD122" s="1">
        <v>39</v>
      </c>
      <c r="AE122" s="36">
        <v>5.7</v>
      </c>
    </row>
    <row r="123" spans="1:31" x14ac:dyDescent="0.2">
      <c r="A123" s="1">
        <v>12</v>
      </c>
      <c r="B123" s="1" t="s">
        <v>58</v>
      </c>
      <c r="C123" s="28">
        <v>2.387</v>
      </c>
      <c r="D123" s="1">
        <v>19</v>
      </c>
      <c r="E123" s="1">
        <v>2</v>
      </c>
      <c r="F123" s="1">
        <v>2</v>
      </c>
      <c r="G123" s="11">
        <v>2.7395</v>
      </c>
      <c r="H123" s="12">
        <v>1.5449999999999999</v>
      </c>
      <c r="I123" s="13">
        <v>2.7715000000000001</v>
      </c>
      <c r="J123" s="18">
        <f t="shared" si="3"/>
        <v>2.2335915205870362</v>
      </c>
      <c r="K123" s="18">
        <f t="shared" si="2"/>
        <v>6.4268319821099151</v>
      </c>
      <c r="L123" s="33">
        <v>400</v>
      </c>
      <c r="M123" s="1">
        <v>2</v>
      </c>
      <c r="N123" s="38">
        <v>45480</v>
      </c>
      <c r="O123" s="44">
        <v>2555</v>
      </c>
      <c r="P123" s="44">
        <v>6376</v>
      </c>
      <c r="Q123" s="65">
        <v>0.85599999999999998</v>
      </c>
      <c r="R123" s="69">
        <v>1280.5</v>
      </c>
      <c r="S123" s="74">
        <v>3822</v>
      </c>
      <c r="T123" s="49">
        <v>303820</v>
      </c>
      <c r="U123" s="56">
        <v>5</v>
      </c>
      <c r="V123" s="56">
        <v>6</v>
      </c>
      <c r="W123" s="1">
        <v>3.4</v>
      </c>
      <c r="X123" s="28">
        <v>2.3069999999999999</v>
      </c>
      <c r="Y123" s="60">
        <v>14.6</v>
      </c>
      <c r="Z123" s="1">
        <v>77</v>
      </c>
      <c r="AA123" s="60">
        <v>1.1000000000000001</v>
      </c>
      <c r="AB123" s="1">
        <v>87</v>
      </c>
      <c r="AC123" s="1">
        <v>56</v>
      </c>
      <c r="AD123" s="1">
        <v>39</v>
      </c>
      <c r="AE123" s="36">
        <v>5.7</v>
      </c>
    </row>
    <row r="124" spans="1:31" x14ac:dyDescent="0.2">
      <c r="A124" s="1">
        <v>12</v>
      </c>
      <c r="B124" s="1" t="s">
        <v>58</v>
      </c>
      <c r="C124" s="28">
        <v>2.387</v>
      </c>
      <c r="D124" s="1">
        <v>19</v>
      </c>
      <c r="E124" s="1">
        <v>2</v>
      </c>
      <c r="F124" s="1">
        <v>3</v>
      </c>
      <c r="G124" s="11">
        <v>2.7974999999999999</v>
      </c>
      <c r="H124" s="12">
        <v>1.569</v>
      </c>
      <c r="I124" s="13">
        <v>2.8184999999999998</v>
      </c>
      <c r="J124" s="18">
        <f t="shared" si="3"/>
        <v>2.2388955582232897</v>
      </c>
      <c r="K124" s="18">
        <f t="shared" si="2"/>
        <v>6.2046268025433786</v>
      </c>
      <c r="L124" s="33"/>
      <c r="Q124" s="65"/>
      <c r="R124" s="69"/>
      <c r="S124" s="74"/>
      <c r="T124" s="49"/>
      <c r="U124" s="56">
        <v>5</v>
      </c>
      <c r="V124" s="56">
        <v>6</v>
      </c>
      <c r="W124" s="1">
        <v>3.4</v>
      </c>
      <c r="X124" s="28">
        <v>2.3069999999999999</v>
      </c>
      <c r="Y124" s="60">
        <v>14.6</v>
      </c>
      <c r="Z124" s="1">
        <v>77</v>
      </c>
      <c r="AA124" s="60">
        <v>1.1000000000000001</v>
      </c>
      <c r="AB124" s="1">
        <v>87</v>
      </c>
      <c r="AC124" s="1">
        <v>56</v>
      </c>
      <c r="AD124" s="1">
        <v>39</v>
      </c>
      <c r="AE124" s="36">
        <v>5.7</v>
      </c>
    </row>
    <row r="125" spans="1:31" ht="16" thickBot="1" x14ac:dyDescent="0.25">
      <c r="A125" s="1">
        <v>12</v>
      </c>
      <c r="B125" s="1" t="s">
        <v>58</v>
      </c>
      <c r="C125" s="29">
        <v>2.387</v>
      </c>
      <c r="D125" s="2">
        <v>19</v>
      </c>
      <c r="E125" s="2">
        <v>2</v>
      </c>
      <c r="F125" s="2">
        <v>4</v>
      </c>
      <c r="G125" s="16">
        <v>2.7124999999999999</v>
      </c>
      <c r="H125" s="10">
        <v>1.5175000000000001</v>
      </c>
      <c r="I125" s="17">
        <v>2.7309999999999999</v>
      </c>
      <c r="J125" s="20">
        <f t="shared" si="3"/>
        <v>2.235269880510919</v>
      </c>
      <c r="K125" s="20">
        <f t="shared" si="2"/>
        <v>6.3565194591152512</v>
      </c>
      <c r="L125" s="34"/>
      <c r="M125" s="2"/>
      <c r="N125" s="39"/>
      <c r="O125" s="46"/>
      <c r="P125" s="46"/>
      <c r="Q125" s="66"/>
      <c r="R125" s="70"/>
      <c r="S125" s="76"/>
      <c r="T125" s="50"/>
      <c r="U125" s="57">
        <v>5</v>
      </c>
      <c r="V125" s="57">
        <v>6</v>
      </c>
      <c r="W125" s="2">
        <v>3.4</v>
      </c>
      <c r="X125" s="29">
        <v>2.3069999999999999</v>
      </c>
      <c r="Y125" s="61">
        <v>14.6</v>
      </c>
      <c r="Z125" s="2">
        <v>77</v>
      </c>
      <c r="AA125" s="61">
        <v>1.1000000000000001</v>
      </c>
      <c r="AB125" s="2">
        <v>87</v>
      </c>
      <c r="AC125" s="2">
        <v>56</v>
      </c>
      <c r="AD125" s="2">
        <v>39</v>
      </c>
      <c r="AE125" s="4">
        <v>5.7</v>
      </c>
    </row>
    <row r="126" spans="1:31" x14ac:dyDescent="0.2">
      <c r="A126" s="1">
        <v>13</v>
      </c>
      <c r="B126" s="1" t="s">
        <v>59</v>
      </c>
      <c r="C126" s="54">
        <v>2.3780000000000001</v>
      </c>
      <c r="D126" s="1">
        <v>19</v>
      </c>
      <c r="E126" s="26">
        <v>1</v>
      </c>
      <c r="F126" s="26">
        <v>0</v>
      </c>
      <c r="G126" s="21">
        <v>24.011500000000002</v>
      </c>
      <c r="H126" s="22">
        <v>13.3445</v>
      </c>
      <c r="I126" s="23">
        <v>24.28</v>
      </c>
      <c r="J126" s="24">
        <f t="shared" si="3"/>
        <v>2.1957386493530247</v>
      </c>
      <c r="K126" s="24">
        <f t="shared" si="2"/>
        <v>7.6644806832201651</v>
      </c>
      <c r="L126" s="33">
        <v>0</v>
      </c>
      <c r="Q126" s="65"/>
      <c r="R126" s="69"/>
      <c r="S126" s="74"/>
      <c r="T126" s="49"/>
      <c r="U126" s="56">
        <v>5.15</v>
      </c>
      <c r="V126" s="56">
        <v>6.01</v>
      </c>
      <c r="W126" s="1">
        <v>3.2</v>
      </c>
      <c r="X126" s="28">
        <v>2.302</v>
      </c>
      <c r="Y126" s="60">
        <v>14.8</v>
      </c>
      <c r="Z126" s="1">
        <v>78</v>
      </c>
      <c r="AA126" s="60">
        <v>1.1000000000000001</v>
      </c>
      <c r="AB126" s="1">
        <v>88</v>
      </c>
      <c r="AC126" s="1">
        <v>50</v>
      </c>
      <c r="AD126" s="1">
        <v>35</v>
      </c>
      <c r="AE126" s="36">
        <v>5.5</v>
      </c>
    </row>
    <row r="127" spans="1:31" x14ac:dyDescent="0.2">
      <c r="A127" s="1">
        <v>13</v>
      </c>
      <c r="B127" s="1" t="s">
        <v>59</v>
      </c>
      <c r="C127" s="54">
        <v>2.3780000000000001</v>
      </c>
      <c r="D127" s="1">
        <v>19</v>
      </c>
      <c r="E127" s="1">
        <v>1</v>
      </c>
      <c r="F127" s="1">
        <v>1</v>
      </c>
      <c r="G127" s="11">
        <v>2.7210000000000001</v>
      </c>
      <c r="H127" s="12">
        <v>1.5065</v>
      </c>
      <c r="I127" s="13">
        <v>2.7244999999999999</v>
      </c>
      <c r="J127" s="18">
        <f t="shared" si="3"/>
        <v>2.2339901477832513</v>
      </c>
      <c r="K127" s="18">
        <f t="shared" si="2"/>
        <v>6.0559231377943163</v>
      </c>
      <c r="L127" s="33">
        <v>600</v>
      </c>
      <c r="M127" s="1">
        <v>1</v>
      </c>
      <c r="N127" s="38">
        <v>45512</v>
      </c>
      <c r="O127" s="44">
        <v>3400</v>
      </c>
      <c r="P127" s="44">
        <v>5647</v>
      </c>
      <c r="Q127" s="65">
        <v>1.893</v>
      </c>
      <c r="R127" s="69">
        <v>1659.4</v>
      </c>
      <c r="S127" s="74">
        <v>1694</v>
      </c>
      <c r="T127" s="49">
        <v>23000</v>
      </c>
      <c r="U127" s="56">
        <v>5.15</v>
      </c>
      <c r="V127" s="56">
        <v>6.01</v>
      </c>
      <c r="W127" s="1">
        <v>3.2</v>
      </c>
      <c r="X127" s="28">
        <v>2.302</v>
      </c>
      <c r="Y127" s="60">
        <v>14.8</v>
      </c>
      <c r="Z127" s="1">
        <v>78</v>
      </c>
      <c r="AA127" s="60">
        <v>1.1000000000000001</v>
      </c>
      <c r="AB127" s="1">
        <v>88</v>
      </c>
      <c r="AC127" s="1">
        <v>50</v>
      </c>
      <c r="AD127" s="1">
        <v>35</v>
      </c>
      <c r="AE127" s="36">
        <v>5.5</v>
      </c>
    </row>
    <row r="128" spans="1:31" x14ac:dyDescent="0.2">
      <c r="A128" s="1">
        <v>13</v>
      </c>
      <c r="B128" s="1" t="s">
        <v>59</v>
      </c>
      <c r="C128" s="54">
        <v>2.3780000000000001</v>
      </c>
      <c r="D128" s="1">
        <v>19</v>
      </c>
      <c r="E128" s="1">
        <v>1</v>
      </c>
      <c r="F128" s="1">
        <v>2</v>
      </c>
      <c r="G128" s="11">
        <v>2.6915</v>
      </c>
      <c r="H128" s="12">
        <v>1.4755</v>
      </c>
      <c r="I128" s="13">
        <v>2.6920000000000002</v>
      </c>
      <c r="J128" s="18">
        <f t="shared" si="3"/>
        <v>2.2124948623099052</v>
      </c>
      <c r="K128" s="18">
        <f t="shared" si="2"/>
        <v>6.9598459920140794</v>
      </c>
      <c r="L128" s="33">
        <v>600</v>
      </c>
      <c r="M128" s="1">
        <v>2</v>
      </c>
      <c r="N128" s="38">
        <v>45512</v>
      </c>
      <c r="O128" s="44">
        <v>3167</v>
      </c>
      <c r="P128" s="44">
        <v>5277</v>
      </c>
      <c r="Q128" s="65">
        <v>1.788</v>
      </c>
      <c r="R128" s="69">
        <v>1567.3</v>
      </c>
      <c r="S128" s="74">
        <v>1581</v>
      </c>
      <c r="T128" s="49">
        <v>52500</v>
      </c>
      <c r="U128" s="56">
        <v>5.15</v>
      </c>
      <c r="V128" s="56">
        <v>6.01</v>
      </c>
      <c r="W128" s="1">
        <v>3.2</v>
      </c>
      <c r="X128" s="28">
        <v>2.302</v>
      </c>
      <c r="Y128" s="60">
        <v>14.8</v>
      </c>
      <c r="Z128" s="1">
        <v>78</v>
      </c>
      <c r="AA128" s="60">
        <v>1.1000000000000001</v>
      </c>
      <c r="AB128" s="1">
        <v>88</v>
      </c>
      <c r="AC128" s="1">
        <v>50</v>
      </c>
      <c r="AD128" s="1">
        <v>35</v>
      </c>
      <c r="AE128" s="36">
        <v>5.5</v>
      </c>
    </row>
    <row r="129" spans="1:31" x14ac:dyDescent="0.2">
      <c r="A129" s="1">
        <v>13</v>
      </c>
      <c r="B129" s="1" t="s">
        <v>59</v>
      </c>
      <c r="C129" s="54">
        <v>2.3780000000000001</v>
      </c>
      <c r="D129" s="1">
        <v>19</v>
      </c>
      <c r="E129" s="1">
        <v>1</v>
      </c>
      <c r="F129" s="1">
        <v>3</v>
      </c>
      <c r="G129" s="11">
        <v>2.6989999999999998</v>
      </c>
      <c r="H129" s="12">
        <v>1.4830000000000001</v>
      </c>
      <c r="I129" s="13">
        <v>2.7065000000000001</v>
      </c>
      <c r="J129" s="18">
        <f t="shared" si="3"/>
        <v>2.205966489579076</v>
      </c>
      <c r="K129" s="18">
        <f t="shared" si="2"/>
        <v>7.2343780664812503</v>
      </c>
      <c r="L129" s="33">
        <v>600</v>
      </c>
      <c r="M129" s="1">
        <v>3</v>
      </c>
      <c r="N129" s="38">
        <v>45513</v>
      </c>
      <c r="O129" s="44">
        <v>3021</v>
      </c>
      <c r="P129" s="44">
        <v>5019</v>
      </c>
      <c r="Q129" s="65">
        <v>1.7270000000000001</v>
      </c>
      <c r="R129" s="69">
        <v>1518.1</v>
      </c>
      <c r="S129" s="74">
        <v>1502</v>
      </c>
      <c r="T129" s="49">
        <v>75000</v>
      </c>
      <c r="U129" s="56">
        <v>5.15</v>
      </c>
      <c r="V129" s="56">
        <v>6.01</v>
      </c>
      <c r="W129" s="1">
        <v>3.2</v>
      </c>
      <c r="X129" s="28">
        <v>2.302</v>
      </c>
      <c r="Y129" s="60">
        <v>14.8</v>
      </c>
      <c r="Z129" s="1">
        <v>78</v>
      </c>
      <c r="AA129" s="60">
        <v>1.1000000000000001</v>
      </c>
      <c r="AB129" s="1">
        <v>88</v>
      </c>
      <c r="AC129" s="1">
        <v>50</v>
      </c>
      <c r="AD129" s="1">
        <v>35</v>
      </c>
      <c r="AE129" s="36">
        <v>5.5</v>
      </c>
    </row>
    <row r="130" spans="1:31" x14ac:dyDescent="0.2">
      <c r="A130" s="1">
        <v>13</v>
      </c>
      <c r="B130" s="1" t="s">
        <v>59</v>
      </c>
      <c r="C130" s="54">
        <v>2.3780000000000001</v>
      </c>
      <c r="D130" s="1">
        <v>19</v>
      </c>
      <c r="E130" s="5">
        <v>1</v>
      </c>
      <c r="F130" s="5">
        <v>4</v>
      </c>
      <c r="G130" s="14">
        <v>2.7629999999999999</v>
      </c>
      <c r="H130" s="9">
        <v>1.5309999999999999</v>
      </c>
      <c r="I130" s="15">
        <v>2.7665000000000002</v>
      </c>
      <c r="J130" s="19">
        <f t="shared" si="3"/>
        <v>2.2363415621205984</v>
      </c>
      <c r="K130" s="19">
        <f t="shared" si="2"/>
        <v>5.9570411219260544</v>
      </c>
      <c r="L130" s="41">
        <v>400</v>
      </c>
      <c r="M130" s="5">
        <v>4</v>
      </c>
      <c r="N130" s="42">
        <v>45517</v>
      </c>
      <c r="O130" s="47">
        <v>1769</v>
      </c>
      <c r="P130" s="47">
        <v>4429</v>
      </c>
      <c r="Q130" s="67">
        <v>0.70499999999999996</v>
      </c>
      <c r="R130" s="71">
        <v>890.2</v>
      </c>
      <c r="S130" s="75">
        <v>1328</v>
      </c>
      <c r="T130" s="51">
        <v>486470</v>
      </c>
      <c r="U130" s="58">
        <v>5.15</v>
      </c>
      <c r="V130" s="58">
        <v>6.01</v>
      </c>
      <c r="W130" s="5">
        <v>3.2</v>
      </c>
      <c r="X130" s="53">
        <v>2.302</v>
      </c>
      <c r="Y130" s="62">
        <v>14.8</v>
      </c>
      <c r="Z130" s="5">
        <v>78</v>
      </c>
      <c r="AA130" s="62">
        <v>1.1000000000000001</v>
      </c>
      <c r="AB130" s="5">
        <v>88</v>
      </c>
      <c r="AC130" s="5">
        <v>50</v>
      </c>
      <c r="AD130" s="5">
        <v>35</v>
      </c>
      <c r="AE130" s="43">
        <v>5.5</v>
      </c>
    </row>
    <row r="131" spans="1:31" x14ac:dyDescent="0.2">
      <c r="A131" s="1">
        <v>13</v>
      </c>
      <c r="B131" s="1" t="s">
        <v>60</v>
      </c>
      <c r="C131" s="54">
        <v>2.3780000000000001</v>
      </c>
      <c r="D131" s="1">
        <v>19</v>
      </c>
      <c r="E131" s="26">
        <v>2</v>
      </c>
      <c r="F131" s="26">
        <v>0</v>
      </c>
      <c r="G131" s="21">
        <v>24.089500000000001</v>
      </c>
      <c r="H131" s="22">
        <v>13.3535</v>
      </c>
      <c r="I131" s="23">
        <v>24.326000000000001</v>
      </c>
      <c r="J131" s="24">
        <f t="shared" si="3"/>
        <v>2.1954431533378904</v>
      </c>
      <c r="K131" s="24">
        <f t="shared" si="2"/>
        <v>7.6769069243948547</v>
      </c>
      <c r="L131" s="33">
        <v>0</v>
      </c>
      <c r="Q131" s="65"/>
      <c r="R131" s="69"/>
      <c r="S131" s="74"/>
      <c r="T131" s="49"/>
      <c r="U131" s="56">
        <v>5.15</v>
      </c>
      <c r="V131" s="56">
        <v>6.01</v>
      </c>
      <c r="W131" s="1">
        <v>3.2</v>
      </c>
      <c r="X131" s="28">
        <v>2.302</v>
      </c>
      <c r="Y131" s="60">
        <v>14.8</v>
      </c>
      <c r="Z131" s="1">
        <v>78</v>
      </c>
      <c r="AA131" s="60">
        <v>1.1000000000000001</v>
      </c>
      <c r="AB131" s="1">
        <v>88</v>
      </c>
      <c r="AC131" s="1">
        <v>50</v>
      </c>
      <c r="AD131" s="1">
        <v>35</v>
      </c>
      <c r="AE131" s="36">
        <v>5.5</v>
      </c>
    </row>
    <row r="132" spans="1:31" x14ac:dyDescent="0.2">
      <c r="A132" s="1">
        <v>13</v>
      </c>
      <c r="B132" s="1" t="s">
        <v>60</v>
      </c>
      <c r="C132" s="54">
        <v>2.3780000000000001</v>
      </c>
      <c r="D132" s="1">
        <v>19</v>
      </c>
      <c r="E132" s="1">
        <v>2</v>
      </c>
      <c r="F132" s="1">
        <v>1</v>
      </c>
      <c r="G132" s="11">
        <v>2.7749999999999999</v>
      </c>
      <c r="H132" s="12">
        <v>1.5325</v>
      </c>
      <c r="I132" s="13">
        <v>2.78</v>
      </c>
      <c r="J132" s="18">
        <f t="shared" si="3"/>
        <v>2.2244488977955914</v>
      </c>
      <c r="K132" s="18">
        <f t="shared" si="2"/>
        <v>6.4571531625066791</v>
      </c>
      <c r="L132" s="33">
        <v>400</v>
      </c>
      <c r="M132" s="1">
        <v>1</v>
      </c>
      <c r="N132" s="38">
        <v>45518</v>
      </c>
      <c r="O132" s="44">
        <v>2431</v>
      </c>
      <c r="P132" s="44">
        <v>6056</v>
      </c>
      <c r="Q132" s="65">
        <v>0.84699999999999998</v>
      </c>
      <c r="R132" s="69">
        <v>1217.0999999999999</v>
      </c>
      <c r="S132" s="74">
        <v>1816</v>
      </c>
      <c r="T132" s="49">
        <v>475000</v>
      </c>
      <c r="U132" s="56">
        <v>5.15</v>
      </c>
      <c r="V132" s="56">
        <v>6.01</v>
      </c>
      <c r="W132" s="1">
        <v>3.2</v>
      </c>
      <c r="X132" s="28">
        <v>2.302</v>
      </c>
      <c r="Y132" s="60">
        <v>14.8</v>
      </c>
      <c r="Z132" s="1">
        <v>78</v>
      </c>
      <c r="AA132" s="60">
        <v>1.1000000000000001</v>
      </c>
      <c r="AB132" s="1">
        <v>88</v>
      </c>
      <c r="AC132" s="1">
        <v>50</v>
      </c>
      <c r="AD132" s="1">
        <v>35</v>
      </c>
      <c r="AE132" s="36">
        <v>5.5</v>
      </c>
    </row>
    <row r="133" spans="1:31" x14ac:dyDescent="0.2">
      <c r="A133" s="1">
        <v>13</v>
      </c>
      <c r="B133" s="1" t="s">
        <v>60</v>
      </c>
      <c r="C133" s="54">
        <v>2.3780000000000001</v>
      </c>
      <c r="D133" s="1">
        <v>19</v>
      </c>
      <c r="E133" s="1">
        <v>2</v>
      </c>
      <c r="F133" s="1">
        <v>2</v>
      </c>
      <c r="G133" s="11">
        <v>2.6659999999999999</v>
      </c>
      <c r="H133" s="12">
        <v>1.46</v>
      </c>
      <c r="I133" s="13">
        <v>2.6709999999999998</v>
      </c>
      <c r="J133" s="18">
        <f t="shared" si="3"/>
        <v>2.2014863748967799</v>
      </c>
      <c r="K133" s="18">
        <f t="shared" si="2"/>
        <v>7.4227764971917631</v>
      </c>
      <c r="L133" s="33">
        <v>400</v>
      </c>
      <c r="M133" s="1">
        <v>2</v>
      </c>
      <c r="N133" s="38">
        <v>45520</v>
      </c>
      <c r="O133" s="44">
        <v>2399</v>
      </c>
      <c r="P133" s="44">
        <v>6012</v>
      </c>
      <c r="Q133" s="65">
        <v>0.81399999999999995</v>
      </c>
      <c r="R133" s="69">
        <v>1150.7</v>
      </c>
      <c r="S133" s="74">
        <v>1800</v>
      </c>
      <c r="T133" s="49">
        <v>750000</v>
      </c>
      <c r="U133" s="56">
        <v>5.15</v>
      </c>
      <c r="V133" s="56">
        <v>6.01</v>
      </c>
      <c r="W133" s="1">
        <v>3.2</v>
      </c>
      <c r="X133" s="28">
        <v>2.302</v>
      </c>
      <c r="Y133" s="60">
        <v>14.8</v>
      </c>
      <c r="Z133" s="1">
        <v>78</v>
      </c>
      <c r="AA133" s="60">
        <v>1.1000000000000001</v>
      </c>
      <c r="AB133" s="1">
        <v>88</v>
      </c>
      <c r="AC133" s="1">
        <v>50</v>
      </c>
      <c r="AD133" s="1">
        <v>35</v>
      </c>
      <c r="AE133" s="36">
        <v>5.5</v>
      </c>
    </row>
    <row r="134" spans="1:31" x14ac:dyDescent="0.2">
      <c r="A134" s="1">
        <v>13</v>
      </c>
      <c r="B134" s="1" t="s">
        <v>60</v>
      </c>
      <c r="C134" s="54">
        <v>2.3780000000000001</v>
      </c>
      <c r="D134" s="1">
        <v>19</v>
      </c>
      <c r="E134" s="1">
        <v>2</v>
      </c>
      <c r="F134" s="1">
        <v>3</v>
      </c>
      <c r="G134" s="11">
        <v>2.7435</v>
      </c>
      <c r="H134" s="12">
        <v>1.516</v>
      </c>
      <c r="I134" s="13">
        <v>2.7469999999999999</v>
      </c>
      <c r="J134" s="18">
        <f t="shared" si="3"/>
        <v>2.2286758732737613</v>
      </c>
      <c r="K134" s="18">
        <f t="shared" ref="K134:K197" si="4">+IF(G134=0,"",(1-(J134/C134))*100)</f>
        <v>6.2793997782270345</v>
      </c>
      <c r="L134" s="33"/>
      <c r="Q134" s="65"/>
      <c r="R134" s="69"/>
      <c r="S134" s="74"/>
      <c r="T134" s="49"/>
      <c r="U134" s="56">
        <v>5.15</v>
      </c>
      <c r="V134" s="56">
        <v>6.01</v>
      </c>
      <c r="W134" s="1">
        <v>3.2</v>
      </c>
      <c r="X134" s="28">
        <v>2.302</v>
      </c>
      <c r="Y134" s="60">
        <v>14.8</v>
      </c>
      <c r="Z134" s="1">
        <v>78</v>
      </c>
      <c r="AA134" s="60">
        <v>1.1000000000000001</v>
      </c>
      <c r="AB134" s="1">
        <v>88</v>
      </c>
      <c r="AC134" s="1">
        <v>50</v>
      </c>
      <c r="AD134" s="1">
        <v>35</v>
      </c>
      <c r="AE134" s="36">
        <v>5.5</v>
      </c>
    </row>
    <row r="135" spans="1:31" ht="16" thickBot="1" x14ac:dyDescent="0.25">
      <c r="A135" s="1">
        <v>13</v>
      </c>
      <c r="B135" s="1" t="s">
        <v>60</v>
      </c>
      <c r="C135" s="55">
        <v>2.3780000000000001</v>
      </c>
      <c r="D135" s="2">
        <v>19</v>
      </c>
      <c r="E135" s="2">
        <v>2</v>
      </c>
      <c r="F135" s="2">
        <v>4</v>
      </c>
      <c r="G135" s="16">
        <v>2.7324999999999999</v>
      </c>
      <c r="H135" s="10">
        <v>1.5065</v>
      </c>
      <c r="I135" s="17">
        <v>2.7360000000000002</v>
      </c>
      <c r="J135" s="20">
        <f t="shared" si="3"/>
        <v>2.2224481496543307</v>
      </c>
      <c r="K135" s="20">
        <f t="shared" si="4"/>
        <v>6.5412889127699492</v>
      </c>
      <c r="L135" s="34"/>
      <c r="M135" s="2"/>
      <c r="N135" s="39"/>
      <c r="O135" s="46"/>
      <c r="P135" s="46"/>
      <c r="Q135" s="66"/>
      <c r="R135" s="70"/>
      <c r="S135" s="76"/>
      <c r="T135" s="50"/>
      <c r="U135" s="57">
        <v>5.15</v>
      </c>
      <c r="V135" s="57">
        <v>6.01</v>
      </c>
      <c r="W135" s="2">
        <v>3.2</v>
      </c>
      <c r="X135" s="29">
        <v>2.302</v>
      </c>
      <c r="Y135" s="61">
        <v>14.8</v>
      </c>
      <c r="Z135" s="2">
        <v>78</v>
      </c>
      <c r="AA135" s="61">
        <v>1.1000000000000001</v>
      </c>
      <c r="AB135" s="2">
        <v>88</v>
      </c>
      <c r="AC135" s="2">
        <v>50</v>
      </c>
      <c r="AD135" s="2">
        <v>35</v>
      </c>
      <c r="AE135" s="4">
        <v>5.5</v>
      </c>
    </row>
    <row r="136" spans="1:31" x14ac:dyDescent="0.2">
      <c r="A136" s="1">
        <v>14</v>
      </c>
      <c r="B136" s="1" t="s">
        <v>61</v>
      </c>
      <c r="C136" s="28">
        <v>2.363</v>
      </c>
      <c r="D136" s="1">
        <v>19</v>
      </c>
      <c r="E136" s="26">
        <v>1</v>
      </c>
      <c r="F136" s="26">
        <v>0</v>
      </c>
      <c r="G136" s="21">
        <v>24.040500000000002</v>
      </c>
      <c r="H136" s="22">
        <v>13.240500000000001</v>
      </c>
      <c r="I136" s="23">
        <v>24.277999999999999</v>
      </c>
      <c r="J136" s="24">
        <f>+IF(G136=0,"",G136/(I136-H136))</f>
        <v>2.1780747451868634</v>
      </c>
      <c r="K136" s="24">
        <f t="shared" si="4"/>
        <v>7.8258677449486447</v>
      </c>
      <c r="L136" s="33">
        <v>0</v>
      </c>
      <c r="Q136" s="65"/>
      <c r="R136" s="69"/>
      <c r="S136" s="74"/>
      <c r="T136" s="49"/>
      <c r="U136" s="56">
        <v>5.46</v>
      </c>
      <c r="V136" s="56">
        <v>6.02</v>
      </c>
      <c r="W136" s="1">
        <v>2.5</v>
      </c>
      <c r="X136" s="28">
        <v>2.3039999999999998</v>
      </c>
      <c r="Y136" s="60">
        <v>14.8</v>
      </c>
      <c r="Z136" s="1">
        <v>83</v>
      </c>
      <c r="AA136" s="60">
        <v>0.9</v>
      </c>
      <c r="AB136" s="1">
        <v>85</v>
      </c>
      <c r="AC136" s="1">
        <v>51</v>
      </c>
      <c r="AD136" s="1">
        <v>36</v>
      </c>
      <c r="AE136" s="36">
        <v>5.0999999999999996</v>
      </c>
    </row>
    <row r="137" spans="1:31" x14ac:dyDescent="0.2">
      <c r="A137" s="1">
        <v>14</v>
      </c>
      <c r="B137" s="1" t="s">
        <v>61</v>
      </c>
      <c r="C137" s="28">
        <v>2.363</v>
      </c>
      <c r="D137" s="1">
        <v>19</v>
      </c>
      <c r="E137" s="1">
        <v>1</v>
      </c>
      <c r="F137" s="1">
        <v>1</v>
      </c>
      <c r="G137" s="11">
        <v>2.6920000000000002</v>
      </c>
      <c r="H137" s="12">
        <v>1.482</v>
      </c>
      <c r="I137" s="13">
        <v>2.6985000000000001</v>
      </c>
      <c r="J137" s="18">
        <f>+IF(G137=0,"",G137/(I137-H137))</f>
        <v>2.2129058775174681</v>
      </c>
      <c r="K137" s="18">
        <f t="shared" si="4"/>
        <v>6.351846063585775</v>
      </c>
      <c r="L137" s="33">
        <v>400</v>
      </c>
      <c r="M137" s="1">
        <v>1</v>
      </c>
      <c r="N137" s="38">
        <v>45659</v>
      </c>
      <c r="O137" s="44">
        <v>2157</v>
      </c>
      <c r="P137" s="44">
        <v>5377</v>
      </c>
      <c r="Q137" s="65">
        <v>0.80800000000000005</v>
      </c>
      <c r="R137" s="69">
        <v>1052.5999999999999</v>
      </c>
      <c r="S137" s="74">
        <v>1596</v>
      </c>
      <c r="T137" s="49">
        <v>325000</v>
      </c>
      <c r="U137" s="56">
        <v>5.46</v>
      </c>
      <c r="V137" s="56">
        <v>6.02</v>
      </c>
      <c r="W137" s="1">
        <v>2.5</v>
      </c>
      <c r="X137" s="28">
        <v>2.3039999999999998</v>
      </c>
      <c r="Y137" s="60">
        <v>14.8</v>
      </c>
      <c r="Z137" s="1">
        <v>83</v>
      </c>
      <c r="AA137" s="60">
        <v>0.9</v>
      </c>
      <c r="AB137" s="1">
        <v>85</v>
      </c>
      <c r="AC137" s="1">
        <v>51</v>
      </c>
      <c r="AD137" s="1">
        <v>36</v>
      </c>
      <c r="AE137" s="36">
        <v>5.0999999999999996</v>
      </c>
    </row>
    <row r="138" spans="1:31" x14ac:dyDescent="0.2">
      <c r="A138" s="1">
        <v>14</v>
      </c>
      <c r="B138" s="1" t="s">
        <v>61</v>
      </c>
      <c r="C138" s="28">
        <v>2.363</v>
      </c>
      <c r="D138" s="1">
        <v>19</v>
      </c>
      <c r="E138" s="1">
        <v>1</v>
      </c>
      <c r="F138" s="1">
        <v>2</v>
      </c>
      <c r="G138" s="11">
        <v>2.589</v>
      </c>
      <c r="H138" s="12">
        <v>1.42</v>
      </c>
      <c r="I138" s="13">
        <v>2.593</v>
      </c>
      <c r="J138" s="18">
        <f t="shared" ref="J138:J201" si="5">+IF(G138=0,"",G138/(I138-H138))</f>
        <v>2.207161125319693</v>
      </c>
      <c r="K138" s="18">
        <f t="shared" si="4"/>
        <v>6.5949587253621207</v>
      </c>
      <c r="L138" s="33">
        <v>600</v>
      </c>
      <c r="M138" s="1">
        <v>2</v>
      </c>
      <c r="N138" s="38">
        <v>45660</v>
      </c>
      <c r="O138" s="44">
        <v>2279</v>
      </c>
      <c r="P138" s="44">
        <v>3786</v>
      </c>
      <c r="Q138" s="65">
        <v>1.38</v>
      </c>
      <c r="R138" s="69">
        <v>1207.5999999999999</v>
      </c>
      <c r="S138" s="74">
        <v>1639</v>
      </c>
      <c r="T138" s="49">
        <v>284780</v>
      </c>
      <c r="U138" s="56">
        <v>5.46</v>
      </c>
      <c r="V138" s="56">
        <v>6.02</v>
      </c>
      <c r="W138" s="1">
        <v>2.5</v>
      </c>
      <c r="X138" s="28">
        <v>2.3039999999999998</v>
      </c>
      <c r="Y138" s="60">
        <v>14.8</v>
      </c>
      <c r="Z138" s="1">
        <v>83</v>
      </c>
      <c r="AA138" s="60">
        <v>0.9</v>
      </c>
      <c r="AB138" s="1">
        <v>85</v>
      </c>
      <c r="AC138" s="1">
        <v>51</v>
      </c>
      <c r="AD138" s="1">
        <v>36</v>
      </c>
      <c r="AE138" s="36">
        <v>5.0999999999999996</v>
      </c>
    </row>
    <row r="139" spans="1:31" x14ac:dyDescent="0.2">
      <c r="A139" s="1">
        <v>14</v>
      </c>
      <c r="B139" s="1" t="s">
        <v>61</v>
      </c>
      <c r="C139" s="28">
        <v>2.363</v>
      </c>
      <c r="D139" s="1">
        <v>19</v>
      </c>
      <c r="E139" s="1">
        <v>1</v>
      </c>
      <c r="F139" s="1">
        <v>3</v>
      </c>
      <c r="G139" s="11">
        <v>2.6675</v>
      </c>
      <c r="H139" s="12">
        <v>1.4670000000000001</v>
      </c>
      <c r="I139" s="13">
        <v>2.6715</v>
      </c>
      <c r="J139" s="18">
        <f t="shared" si="5"/>
        <v>2.214611872146119</v>
      </c>
      <c r="K139" s="18">
        <f t="shared" si="4"/>
        <v>6.2796499303377491</v>
      </c>
      <c r="L139" s="33">
        <v>400</v>
      </c>
      <c r="M139" s="1">
        <v>3</v>
      </c>
      <c r="N139" s="38">
        <v>45660</v>
      </c>
      <c r="O139" s="44">
        <v>2052</v>
      </c>
      <c r="P139" s="44">
        <v>5125</v>
      </c>
      <c r="Q139" s="65">
        <v>0.67600000000000005</v>
      </c>
      <c r="R139" s="69">
        <v>1071.7</v>
      </c>
      <c r="S139" s="74">
        <v>1763</v>
      </c>
      <c r="T139" s="49">
        <v>725000</v>
      </c>
      <c r="U139" s="56">
        <v>5.46</v>
      </c>
      <c r="V139" s="56">
        <v>6.02</v>
      </c>
      <c r="W139" s="1">
        <v>2.5</v>
      </c>
      <c r="X139" s="28">
        <v>2.3039999999999998</v>
      </c>
      <c r="Y139" s="60">
        <v>14.8</v>
      </c>
      <c r="Z139" s="1">
        <v>83</v>
      </c>
      <c r="AA139" s="60">
        <v>0.9</v>
      </c>
      <c r="AB139" s="1">
        <v>85</v>
      </c>
      <c r="AC139" s="1">
        <v>51</v>
      </c>
      <c r="AD139" s="1">
        <v>36</v>
      </c>
      <c r="AE139" s="36">
        <v>5.0999999999999996</v>
      </c>
    </row>
    <row r="140" spans="1:31" x14ac:dyDescent="0.2">
      <c r="A140" s="1">
        <v>14</v>
      </c>
      <c r="B140" s="1" t="s">
        <v>61</v>
      </c>
      <c r="C140" s="28">
        <v>2.363</v>
      </c>
      <c r="D140" s="1">
        <v>19</v>
      </c>
      <c r="E140" s="5">
        <v>1</v>
      </c>
      <c r="F140" s="5">
        <v>4</v>
      </c>
      <c r="G140" s="14">
        <v>2.5975000000000001</v>
      </c>
      <c r="H140" s="9">
        <v>1.4225000000000001</v>
      </c>
      <c r="I140" s="15">
        <v>2.5954999999999999</v>
      </c>
      <c r="J140" s="19">
        <f t="shared" si="5"/>
        <v>2.2144075021312877</v>
      </c>
      <c r="K140" s="19">
        <f t="shared" si="4"/>
        <v>6.2882986825523624</v>
      </c>
      <c r="L140" s="41">
        <v>600</v>
      </c>
      <c r="M140" s="5">
        <v>4</v>
      </c>
      <c r="N140" s="42">
        <v>45661</v>
      </c>
      <c r="O140" s="47">
        <v>3028</v>
      </c>
      <c r="P140" s="47">
        <v>5045</v>
      </c>
      <c r="Q140" s="67">
        <v>1.9059999999999999</v>
      </c>
      <c r="R140" s="71">
        <v>1474.3</v>
      </c>
      <c r="S140" s="75">
        <v>2585</v>
      </c>
      <c r="T140" s="51">
        <v>89940</v>
      </c>
      <c r="U140" s="58">
        <v>5.46</v>
      </c>
      <c r="V140" s="58">
        <v>6.02</v>
      </c>
      <c r="W140" s="5">
        <v>2.5</v>
      </c>
      <c r="X140" s="53">
        <v>2.3039999999999998</v>
      </c>
      <c r="Y140" s="62">
        <v>14.8</v>
      </c>
      <c r="Z140" s="5">
        <v>83</v>
      </c>
      <c r="AA140" s="62">
        <v>0.9</v>
      </c>
      <c r="AB140" s="5">
        <v>85</v>
      </c>
      <c r="AC140" s="5">
        <v>51</v>
      </c>
      <c r="AD140" s="5">
        <v>36</v>
      </c>
      <c r="AE140" s="43">
        <v>5.0999999999999996</v>
      </c>
    </row>
    <row r="141" spans="1:31" x14ac:dyDescent="0.2">
      <c r="A141" s="1">
        <v>14</v>
      </c>
      <c r="B141" s="1" t="s">
        <v>62</v>
      </c>
      <c r="C141" s="28">
        <v>2.363</v>
      </c>
      <c r="D141" s="1">
        <v>19</v>
      </c>
      <c r="E141" s="26">
        <v>2</v>
      </c>
      <c r="F141" s="26">
        <v>0</v>
      </c>
      <c r="G141" s="21">
        <v>23.866</v>
      </c>
      <c r="H141" s="22">
        <v>13.161</v>
      </c>
      <c r="I141" s="23">
        <v>24.125</v>
      </c>
      <c r="J141" s="24">
        <f t="shared" si="5"/>
        <v>2.176760306457497</v>
      </c>
      <c r="K141" s="24">
        <f t="shared" si="4"/>
        <v>7.8814935904571781</v>
      </c>
      <c r="L141" s="33">
        <v>0</v>
      </c>
      <c r="Q141" s="65"/>
      <c r="R141" s="69"/>
      <c r="S141" s="74"/>
      <c r="T141" s="49"/>
      <c r="U141" s="56">
        <v>5.46</v>
      </c>
      <c r="V141" s="56">
        <v>6.02</v>
      </c>
      <c r="W141" s="1">
        <v>2.5</v>
      </c>
      <c r="X141" s="28">
        <v>2.3039999999999998</v>
      </c>
      <c r="Y141" s="60">
        <v>14.8</v>
      </c>
      <c r="Z141" s="1">
        <v>83</v>
      </c>
      <c r="AA141" s="60">
        <v>0.9</v>
      </c>
      <c r="AB141" s="1">
        <v>85</v>
      </c>
      <c r="AC141" s="1">
        <v>51</v>
      </c>
      <c r="AD141" s="1">
        <v>36</v>
      </c>
      <c r="AE141" s="36">
        <v>5.0999999999999996</v>
      </c>
    </row>
    <row r="142" spans="1:31" x14ac:dyDescent="0.2">
      <c r="A142" s="1">
        <v>14</v>
      </c>
      <c r="B142" s="1" t="s">
        <v>62</v>
      </c>
      <c r="C142" s="28">
        <v>2.363</v>
      </c>
      <c r="D142" s="1">
        <v>19</v>
      </c>
      <c r="E142" s="1">
        <v>2</v>
      </c>
      <c r="F142" s="1">
        <v>1</v>
      </c>
      <c r="G142" s="11">
        <v>2.6215000000000002</v>
      </c>
      <c r="H142" s="12">
        <v>1.4365000000000001</v>
      </c>
      <c r="I142" s="13">
        <v>2.625</v>
      </c>
      <c r="J142" s="18">
        <f t="shared" si="5"/>
        <v>2.2057214976861594</v>
      </c>
      <c r="K142" s="18">
        <f t="shared" si="4"/>
        <v>6.655882450860795</v>
      </c>
      <c r="L142" s="33">
        <v>400</v>
      </c>
      <c r="M142" s="1">
        <v>1</v>
      </c>
      <c r="N142" s="38">
        <v>45661</v>
      </c>
      <c r="O142" s="44">
        <v>1732</v>
      </c>
      <c r="P142" s="44">
        <v>4318</v>
      </c>
      <c r="Q142" s="65">
        <v>0.63700000000000001</v>
      </c>
      <c r="R142" s="69">
        <v>876.7</v>
      </c>
      <c r="S142" s="74">
        <v>965</v>
      </c>
      <c r="T142" s="49">
        <v>512500</v>
      </c>
      <c r="U142" s="56">
        <v>5.46</v>
      </c>
      <c r="V142" s="56">
        <v>6.02</v>
      </c>
      <c r="W142" s="1">
        <v>2.5</v>
      </c>
      <c r="X142" s="28">
        <v>2.3039999999999998</v>
      </c>
      <c r="Y142" s="60">
        <v>14.8</v>
      </c>
      <c r="Z142" s="1">
        <v>83</v>
      </c>
      <c r="AA142" s="60">
        <v>0.9</v>
      </c>
      <c r="AB142" s="1">
        <v>85</v>
      </c>
      <c r="AC142" s="1">
        <v>51</v>
      </c>
      <c r="AD142" s="1">
        <v>36</v>
      </c>
      <c r="AE142" s="36">
        <v>5.0999999999999996</v>
      </c>
    </row>
    <row r="143" spans="1:31" x14ac:dyDescent="0.2">
      <c r="A143" s="1">
        <v>14</v>
      </c>
      <c r="B143" s="1" t="s">
        <v>62</v>
      </c>
      <c r="C143" s="28">
        <v>2.363</v>
      </c>
      <c r="D143" s="1">
        <v>19</v>
      </c>
      <c r="E143" s="1">
        <v>2</v>
      </c>
      <c r="F143" s="1">
        <v>2</v>
      </c>
      <c r="G143" s="11">
        <v>2.5640000000000001</v>
      </c>
      <c r="H143" s="12">
        <v>1.4039999999999999</v>
      </c>
      <c r="I143" s="13">
        <v>2.57</v>
      </c>
      <c r="J143" s="18">
        <f t="shared" si="5"/>
        <v>2.1989708404802748</v>
      </c>
      <c r="K143" s="18">
        <f t="shared" si="4"/>
        <v>6.9415640930903582</v>
      </c>
      <c r="L143" s="33">
        <v>600</v>
      </c>
      <c r="M143" s="1">
        <v>2</v>
      </c>
      <c r="N143" s="38">
        <v>45662</v>
      </c>
      <c r="O143" s="44">
        <v>2903</v>
      </c>
      <c r="P143" s="44">
        <v>4832</v>
      </c>
      <c r="Q143" s="65">
        <v>1.4</v>
      </c>
      <c r="R143" s="69">
        <v>1450.9</v>
      </c>
      <c r="S143" s="74">
        <v>1447</v>
      </c>
      <c r="T143" s="49">
        <v>50000</v>
      </c>
      <c r="U143" s="56">
        <v>5.46</v>
      </c>
      <c r="V143" s="56">
        <v>6.02</v>
      </c>
      <c r="W143" s="1">
        <v>2.5</v>
      </c>
      <c r="X143" s="28">
        <v>2.3039999999999998</v>
      </c>
      <c r="Y143" s="60">
        <v>14.8</v>
      </c>
      <c r="Z143" s="1">
        <v>83</v>
      </c>
      <c r="AA143" s="60">
        <v>0.9</v>
      </c>
      <c r="AB143" s="1">
        <v>85</v>
      </c>
      <c r="AC143" s="1">
        <v>51</v>
      </c>
      <c r="AD143" s="1">
        <v>36</v>
      </c>
      <c r="AE143" s="36">
        <v>5.0999999999999996</v>
      </c>
    </row>
    <row r="144" spans="1:31" x14ac:dyDescent="0.2">
      <c r="A144" s="1">
        <v>14</v>
      </c>
      <c r="B144" s="1" t="s">
        <v>62</v>
      </c>
      <c r="C144" s="28">
        <v>2.363</v>
      </c>
      <c r="D144" s="1">
        <v>19</v>
      </c>
      <c r="E144" s="1">
        <v>2</v>
      </c>
      <c r="F144" s="1">
        <v>3</v>
      </c>
      <c r="G144" s="11">
        <v>2.597</v>
      </c>
      <c r="H144" s="12">
        <v>1.425</v>
      </c>
      <c r="I144" s="13">
        <v>2.6019999999999999</v>
      </c>
      <c r="J144" s="18">
        <f t="shared" si="5"/>
        <v>2.2064570943075621</v>
      </c>
      <c r="K144" s="18">
        <f t="shared" si="4"/>
        <v>6.6247526742462037</v>
      </c>
      <c r="L144" s="33"/>
      <c r="Q144" s="65"/>
      <c r="R144" s="69"/>
      <c r="S144" s="74"/>
      <c r="T144" s="49"/>
      <c r="U144" s="56">
        <v>5.46</v>
      </c>
      <c r="V144" s="56">
        <v>6.02</v>
      </c>
      <c r="W144" s="1">
        <v>2.5</v>
      </c>
      <c r="X144" s="28">
        <v>2.3039999999999998</v>
      </c>
      <c r="Y144" s="60">
        <v>14.8</v>
      </c>
      <c r="Z144" s="1">
        <v>83</v>
      </c>
      <c r="AA144" s="60">
        <v>0.9</v>
      </c>
      <c r="AB144" s="1">
        <v>85</v>
      </c>
      <c r="AC144" s="1">
        <v>51</v>
      </c>
      <c r="AD144" s="1">
        <v>36</v>
      </c>
      <c r="AE144" s="36">
        <v>5.0999999999999996</v>
      </c>
    </row>
    <row r="145" spans="1:31" ht="16" thickBot="1" x14ac:dyDescent="0.25">
      <c r="A145" s="1">
        <v>14</v>
      </c>
      <c r="B145" s="1" t="s">
        <v>62</v>
      </c>
      <c r="C145" s="29">
        <v>2.363</v>
      </c>
      <c r="D145" s="2">
        <v>19</v>
      </c>
      <c r="E145" s="2">
        <v>2</v>
      </c>
      <c r="F145" s="2">
        <v>4</v>
      </c>
      <c r="G145" s="16">
        <v>2.5920000000000001</v>
      </c>
      <c r="H145" s="10">
        <v>1.4195</v>
      </c>
      <c r="I145" s="17">
        <v>2.5960000000000001</v>
      </c>
      <c r="J145" s="20">
        <f t="shared" si="5"/>
        <v>2.2031449213769654</v>
      </c>
      <c r="K145" s="20">
        <f t="shared" si="4"/>
        <v>6.7649208050374332</v>
      </c>
      <c r="L145" s="34"/>
      <c r="M145" s="2"/>
      <c r="N145" s="39"/>
      <c r="O145" s="46"/>
      <c r="P145" s="46"/>
      <c r="Q145" s="66"/>
      <c r="R145" s="70"/>
      <c r="S145" s="76"/>
      <c r="T145" s="50"/>
      <c r="U145" s="57">
        <v>5.46</v>
      </c>
      <c r="V145" s="57">
        <v>6.02</v>
      </c>
      <c r="W145" s="2">
        <v>2.5</v>
      </c>
      <c r="X145" s="29">
        <v>2.3039999999999998</v>
      </c>
      <c r="Y145" s="61">
        <v>14.8</v>
      </c>
      <c r="Z145" s="2">
        <v>83</v>
      </c>
      <c r="AA145" s="61">
        <v>0.9</v>
      </c>
      <c r="AB145" s="2">
        <v>85</v>
      </c>
      <c r="AC145" s="2">
        <v>51</v>
      </c>
      <c r="AD145" s="2">
        <v>36</v>
      </c>
      <c r="AE145" s="4">
        <v>5.0999999999999996</v>
      </c>
    </row>
    <row r="146" spans="1:31" x14ac:dyDescent="0.2">
      <c r="A146" s="1">
        <v>15</v>
      </c>
      <c r="B146" s="1" t="s">
        <v>63</v>
      </c>
      <c r="C146" s="28">
        <v>2.3679999999999999</v>
      </c>
      <c r="D146" s="1">
        <v>19</v>
      </c>
      <c r="E146" s="26">
        <v>1</v>
      </c>
      <c r="F146" s="26">
        <v>0</v>
      </c>
      <c r="G146" s="21">
        <v>24.047999999999998</v>
      </c>
      <c r="H146" s="22">
        <v>13.241</v>
      </c>
      <c r="I146" s="23">
        <v>24.22</v>
      </c>
      <c r="J146" s="24">
        <f t="shared" si="5"/>
        <v>2.1903634210766008</v>
      </c>
      <c r="K146" s="24">
        <f t="shared" si="4"/>
        <v>7.5015447180489474</v>
      </c>
      <c r="L146" s="33">
        <v>0</v>
      </c>
      <c r="Q146" s="65"/>
      <c r="R146" s="69"/>
      <c r="S146" s="74"/>
      <c r="T146" s="49"/>
      <c r="U146" s="56">
        <v>5.34</v>
      </c>
      <c r="V146" s="56">
        <v>5.75</v>
      </c>
      <c r="W146" s="1">
        <v>3.3</v>
      </c>
      <c r="X146" s="28">
        <v>2.2890000000000001</v>
      </c>
      <c r="Y146" s="60">
        <v>15.3</v>
      </c>
      <c r="Z146" s="1">
        <v>78</v>
      </c>
      <c r="AA146" s="60">
        <v>0.9</v>
      </c>
      <c r="AB146" s="1">
        <v>81</v>
      </c>
      <c r="AC146" s="1">
        <v>50</v>
      </c>
      <c r="AD146" s="1">
        <v>35</v>
      </c>
      <c r="AE146" s="36">
        <v>4.7</v>
      </c>
    </row>
    <row r="147" spans="1:31" x14ac:dyDescent="0.2">
      <c r="A147" s="1">
        <v>15</v>
      </c>
      <c r="B147" s="1" t="s">
        <v>63</v>
      </c>
      <c r="C147" s="28">
        <v>2.3679999999999999</v>
      </c>
      <c r="D147" s="1">
        <v>19</v>
      </c>
      <c r="E147" s="1">
        <v>1</v>
      </c>
      <c r="F147" s="1">
        <v>1</v>
      </c>
      <c r="G147" s="11">
        <v>2.5834999999999999</v>
      </c>
      <c r="H147" s="12">
        <v>1.4195</v>
      </c>
      <c r="I147" s="13">
        <v>2.5870000000000002</v>
      </c>
      <c r="J147" s="18">
        <f t="shared" si="5"/>
        <v>2.2128479657387574</v>
      </c>
      <c r="K147" s="18">
        <f t="shared" si="4"/>
        <v>6.5520284738700418</v>
      </c>
      <c r="L147" s="33">
        <v>600</v>
      </c>
      <c r="M147" s="1">
        <v>1</v>
      </c>
      <c r="N147" s="38">
        <v>45667</v>
      </c>
      <c r="O147" s="44">
        <v>2722</v>
      </c>
      <c r="P147" s="44">
        <v>4539</v>
      </c>
      <c r="Q147" s="65">
        <v>1.5780000000000001</v>
      </c>
      <c r="R147" s="69">
        <v>1395.3</v>
      </c>
      <c r="S147" s="74">
        <v>2204</v>
      </c>
      <c r="T147" s="49">
        <v>106920</v>
      </c>
      <c r="U147" s="56">
        <v>5.34</v>
      </c>
      <c r="V147" s="56">
        <v>5.75</v>
      </c>
      <c r="W147" s="1">
        <v>3.3</v>
      </c>
      <c r="X147" s="28">
        <v>2.2890000000000001</v>
      </c>
      <c r="Y147" s="60">
        <v>15.3</v>
      </c>
      <c r="Z147" s="1">
        <v>78</v>
      </c>
      <c r="AA147" s="60">
        <v>0.9</v>
      </c>
      <c r="AB147" s="1">
        <v>81</v>
      </c>
      <c r="AC147" s="1">
        <v>50</v>
      </c>
      <c r="AD147" s="1">
        <v>35</v>
      </c>
      <c r="AE147" s="36">
        <v>4.7</v>
      </c>
    </row>
    <row r="148" spans="1:31" x14ac:dyDescent="0.2">
      <c r="A148" s="1">
        <v>15</v>
      </c>
      <c r="B148" s="1" t="s">
        <v>63</v>
      </c>
      <c r="C148" s="28">
        <v>2.3679999999999999</v>
      </c>
      <c r="D148" s="1">
        <v>19</v>
      </c>
      <c r="E148" s="1">
        <v>1</v>
      </c>
      <c r="F148" s="1">
        <v>2</v>
      </c>
      <c r="G148" s="11">
        <v>2.7214999999999998</v>
      </c>
      <c r="H148" s="12">
        <v>1.494</v>
      </c>
      <c r="I148" s="13">
        <v>2.7280000000000002</v>
      </c>
      <c r="J148" s="18">
        <f t="shared" si="5"/>
        <v>2.2054294975688813</v>
      </c>
      <c r="K148" s="18">
        <f t="shared" si="4"/>
        <v>6.865308379692503</v>
      </c>
      <c r="L148" s="33">
        <v>600</v>
      </c>
      <c r="M148" s="1">
        <v>2</v>
      </c>
      <c r="N148" s="38">
        <v>45667</v>
      </c>
      <c r="O148" s="44">
        <v>2968</v>
      </c>
      <c r="P148" s="44">
        <v>4949</v>
      </c>
      <c r="Q148" s="65">
        <v>1.6539999999999999</v>
      </c>
      <c r="R148" s="69">
        <v>1523.1</v>
      </c>
      <c r="S148" s="74">
        <v>1484</v>
      </c>
      <c r="T148" s="49">
        <v>45000</v>
      </c>
      <c r="U148" s="56">
        <v>5.34</v>
      </c>
      <c r="V148" s="56">
        <v>5.75</v>
      </c>
      <c r="W148" s="1">
        <v>3.3</v>
      </c>
      <c r="X148" s="28">
        <v>2.2890000000000001</v>
      </c>
      <c r="Y148" s="60">
        <v>15.3</v>
      </c>
      <c r="Z148" s="1">
        <v>78</v>
      </c>
      <c r="AA148" s="60">
        <v>0.9</v>
      </c>
      <c r="AB148" s="1">
        <v>81</v>
      </c>
      <c r="AC148" s="1">
        <v>50</v>
      </c>
      <c r="AD148" s="1">
        <v>35</v>
      </c>
      <c r="AE148" s="36">
        <v>4.7</v>
      </c>
    </row>
    <row r="149" spans="1:31" x14ac:dyDescent="0.2">
      <c r="A149" s="1">
        <v>15</v>
      </c>
      <c r="B149" s="1" t="s">
        <v>63</v>
      </c>
      <c r="C149" s="28">
        <v>2.3679999999999999</v>
      </c>
      <c r="D149" s="1">
        <v>19</v>
      </c>
      <c r="E149" s="1">
        <v>1</v>
      </c>
      <c r="F149" s="1">
        <v>3</v>
      </c>
      <c r="G149" s="11">
        <v>2.6230000000000002</v>
      </c>
      <c r="H149" s="12">
        <v>1.4365000000000001</v>
      </c>
      <c r="I149" s="13">
        <v>2.6265000000000001</v>
      </c>
      <c r="J149" s="18">
        <f t="shared" si="5"/>
        <v>2.2042016806722691</v>
      </c>
      <c r="K149" s="18">
        <f t="shared" si="4"/>
        <v>6.9171587553940377</v>
      </c>
      <c r="L149" s="33">
        <v>400</v>
      </c>
      <c r="M149" s="1">
        <v>3</v>
      </c>
      <c r="N149" s="38">
        <v>45667</v>
      </c>
      <c r="O149" s="44">
        <v>1997</v>
      </c>
      <c r="P149" s="44">
        <v>4994</v>
      </c>
      <c r="Q149" s="65">
        <v>0.71499999999999997</v>
      </c>
      <c r="R149" s="69">
        <v>976.6</v>
      </c>
      <c r="S149" s="74">
        <v>1923</v>
      </c>
      <c r="T149" s="49">
        <v>725000</v>
      </c>
      <c r="U149" s="56">
        <v>5.34</v>
      </c>
      <c r="V149" s="56">
        <v>5.75</v>
      </c>
      <c r="W149" s="1">
        <v>3.3</v>
      </c>
      <c r="X149" s="28">
        <v>2.2890000000000001</v>
      </c>
      <c r="Y149" s="60">
        <v>15.3</v>
      </c>
      <c r="Z149" s="1">
        <v>78</v>
      </c>
      <c r="AA149" s="60">
        <v>0.9</v>
      </c>
      <c r="AB149" s="1">
        <v>81</v>
      </c>
      <c r="AC149" s="1">
        <v>50</v>
      </c>
      <c r="AD149" s="1">
        <v>35</v>
      </c>
      <c r="AE149" s="36">
        <v>4.7</v>
      </c>
    </row>
    <row r="150" spans="1:31" x14ac:dyDescent="0.2">
      <c r="A150" s="1">
        <v>15</v>
      </c>
      <c r="B150" s="1" t="s">
        <v>63</v>
      </c>
      <c r="C150" s="28">
        <v>2.3679999999999999</v>
      </c>
      <c r="D150" s="1">
        <v>19</v>
      </c>
      <c r="E150" s="5">
        <v>1</v>
      </c>
      <c r="F150" s="5">
        <v>4</v>
      </c>
      <c r="G150" s="14">
        <v>2.6604999999999999</v>
      </c>
      <c r="H150" s="9">
        <v>1.4535</v>
      </c>
      <c r="I150" s="15">
        <v>2.6644999999999999</v>
      </c>
      <c r="J150" s="19">
        <f t="shared" si="5"/>
        <v>2.1969446738232867</v>
      </c>
      <c r="K150" s="19">
        <f t="shared" si="4"/>
        <v>7.2236201932733612</v>
      </c>
      <c r="L150" s="41">
        <v>600</v>
      </c>
      <c r="M150" s="5">
        <v>4</v>
      </c>
      <c r="N150" s="42">
        <v>45668</v>
      </c>
      <c r="O150" s="47">
        <v>2773</v>
      </c>
      <c r="P150" s="47">
        <v>4628</v>
      </c>
      <c r="Q150" s="67">
        <v>1.6659999999999999</v>
      </c>
      <c r="R150" s="71">
        <v>1389.1</v>
      </c>
      <c r="S150" s="75">
        <v>1388</v>
      </c>
      <c r="T150" s="51">
        <v>95000</v>
      </c>
      <c r="U150" s="58">
        <v>5.34</v>
      </c>
      <c r="V150" s="58">
        <v>5.75</v>
      </c>
      <c r="W150" s="5">
        <v>3.3</v>
      </c>
      <c r="X150" s="53">
        <v>2.2890000000000001</v>
      </c>
      <c r="Y150" s="62">
        <v>15.3</v>
      </c>
      <c r="Z150" s="5">
        <v>78</v>
      </c>
      <c r="AA150" s="62">
        <v>0.9</v>
      </c>
      <c r="AB150" s="5">
        <v>81</v>
      </c>
      <c r="AC150" s="5">
        <v>50</v>
      </c>
      <c r="AD150" s="5">
        <v>35</v>
      </c>
      <c r="AE150" s="43">
        <v>4.7</v>
      </c>
    </row>
    <row r="151" spans="1:31" x14ac:dyDescent="0.2">
      <c r="A151" s="1">
        <v>15</v>
      </c>
      <c r="B151" s="1" t="s">
        <v>64</v>
      </c>
      <c r="C151" s="28">
        <v>2.3679999999999999</v>
      </c>
      <c r="D151" s="1">
        <v>19</v>
      </c>
      <c r="E151" s="26">
        <v>2</v>
      </c>
      <c r="F151" s="26">
        <v>0</v>
      </c>
      <c r="G151" s="21">
        <v>24.02</v>
      </c>
      <c r="H151" s="22">
        <v>13.236000000000001</v>
      </c>
      <c r="I151" s="23">
        <v>24.219000000000001</v>
      </c>
      <c r="J151" s="24">
        <f t="shared" si="5"/>
        <v>2.1870162979149592</v>
      </c>
      <c r="K151" s="24">
        <f t="shared" si="4"/>
        <v>7.6428928245371957</v>
      </c>
      <c r="L151" s="33">
        <v>0</v>
      </c>
      <c r="Q151" s="65"/>
      <c r="R151" s="69"/>
      <c r="S151" s="74"/>
      <c r="T151" s="49"/>
      <c r="U151" s="56">
        <v>5.34</v>
      </c>
      <c r="V151" s="56">
        <v>5.75</v>
      </c>
      <c r="W151" s="1">
        <v>3.3</v>
      </c>
      <c r="X151" s="28">
        <v>2.2890000000000001</v>
      </c>
      <c r="Y151" s="60">
        <v>15.3</v>
      </c>
      <c r="Z151" s="1">
        <v>78</v>
      </c>
      <c r="AA151" s="60">
        <v>0.9</v>
      </c>
      <c r="AB151" s="1">
        <v>81</v>
      </c>
      <c r="AC151" s="1">
        <v>50</v>
      </c>
      <c r="AD151" s="1">
        <v>35</v>
      </c>
      <c r="AE151" s="36">
        <v>4.7</v>
      </c>
    </row>
    <row r="152" spans="1:31" x14ac:dyDescent="0.2">
      <c r="A152" s="1">
        <v>15</v>
      </c>
      <c r="B152" s="1" t="s">
        <v>64</v>
      </c>
      <c r="C152" s="28">
        <v>2.3679999999999999</v>
      </c>
      <c r="D152" s="1">
        <v>19</v>
      </c>
      <c r="E152" s="1">
        <v>2</v>
      </c>
      <c r="F152" s="1">
        <v>1</v>
      </c>
      <c r="G152" s="11">
        <v>2.6429999999999998</v>
      </c>
      <c r="H152" s="12">
        <v>1.4564999999999999</v>
      </c>
      <c r="I152" s="13">
        <v>2.6475</v>
      </c>
      <c r="J152" s="18">
        <f t="shared" si="5"/>
        <v>2.219143576826196</v>
      </c>
      <c r="K152" s="18">
        <f t="shared" si="4"/>
        <v>6.2861665191640164</v>
      </c>
      <c r="L152" s="33">
        <v>400</v>
      </c>
      <c r="M152" s="1">
        <v>1</v>
      </c>
      <c r="N152" s="38">
        <v>45669</v>
      </c>
      <c r="O152" s="44">
        <v>2335</v>
      </c>
      <c r="P152" s="44">
        <v>5837</v>
      </c>
      <c r="Q152" s="65">
        <v>0.748</v>
      </c>
      <c r="R152" s="69">
        <v>1149.9000000000001</v>
      </c>
      <c r="S152" s="74">
        <v>3468</v>
      </c>
      <c r="T152" s="49">
        <v>345740</v>
      </c>
      <c r="U152" s="56">
        <v>5.34</v>
      </c>
      <c r="V152" s="56">
        <v>5.75</v>
      </c>
      <c r="W152" s="1">
        <v>3.3</v>
      </c>
      <c r="X152" s="28">
        <v>2.2890000000000001</v>
      </c>
      <c r="Y152" s="60">
        <v>15.3</v>
      </c>
      <c r="Z152" s="1">
        <v>78</v>
      </c>
      <c r="AA152" s="60">
        <v>0.9</v>
      </c>
      <c r="AB152" s="1">
        <v>81</v>
      </c>
      <c r="AC152" s="1">
        <v>50</v>
      </c>
      <c r="AD152" s="1">
        <v>35</v>
      </c>
      <c r="AE152" s="36">
        <v>4.7</v>
      </c>
    </row>
    <row r="153" spans="1:31" x14ac:dyDescent="0.2">
      <c r="A153" s="1">
        <v>15</v>
      </c>
      <c r="B153" s="1" t="s">
        <v>64</v>
      </c>
      <c r="C153" s="28">
        <v>2.3679999999999999</v>
      </c>
      <c r="D153" s="1">
        <v>19</v>
      </c>
      <c r="E153" s="1">
        <v>2</v>
      </c>
      <c r="F153" s="1">
        <v>2</v>
      </c>
      <c r="G153" s="11">
        <v>2.6964999999999999</v>
      </c>
      <c r="H153" s="12">
        <v>1.4824999999999999</v>
      </c>
      <c r="I153" s="13">
        <v>2.7014999999999998</v>
      </c>
      <c r="J153" s="18">
        <f t="shared" si="5"/>
        <v>2.2120590648072191</v>
      </c>
      <c r="K153" s="18">
        <f t="shared" si="4"/>
        <v>6.5853435469924282</v>
      </c>
      <c r="L153" s="33">
        <v>400</v>
      </c>
      <c r="M153" s="1">
        <v>2</v>
      </c>
      <c r="N153" s="38">
        <v>45669</v>
      </c>
      <c r="O153" s="44">
        <v>2505</v>
      </c>
      <c r="P153" s="44">
        <v>6268</v>
      </c>
      <c r="Q153" s="65">
        <v>0.82099999999999995</v>
      </c>
      <c r="R153" s="69">
        <v>1239.7</v>
      </c>
      <c r="S153" s="74">
        <v>2864</v>
      </c>
      <c r="T153" s="49">
        <v>673760</v>
      </c>
      <c r="U153" s="56">
        <v>5.34</v>
      </c>
      <c r="V153" s="56">
        <v>5.75</v>
      </c>
      <c r="W153" s="1">
        <v>3.3</v>
      </c>
      <c r="X153" s="28">
        <v>2.2890000000000001</v>
      </c>
      <c r="Y153" s="60">
        <v>15.3</v>
      </c>
      <c r="Z153" s="1">
        <v>78</v>
      </c>
      <c r="AA153" s="60">
        <v>0.9</v>
      </c>
      <c r="AB153" s="1">
        <v>81</v>
      </c>
      <c r="AC153" s="1">
        <v>50</v>
      </c>
      <c r="AD153" s="1">
        <v>35</v>
      </c>
      <c r="AE153" s="36">
        <v>4.7</v>
      </c>
    </row>
    <row r="154" spans="1:31" x14ac:dyDescent="0.2">
      <c r="A154" s="1">
        <v>15</v>
      </c>
      <c r="B154" s="1" t="s">
        <v>64</v>
      </c>
      <c r="C154" s="28">
        <v>2.3679999999999999</v>
      </c>
      <c r="D154" s="1">
        <v>19</v>
      </c>
      <c r="E154" s="1">
        <v>2</v>
      </c>
      <c r="F154" s="1">
        <v>3</v>
      </c>
      <c r="G154" s="11">
        <v>2.6635</v>
      </c>
      <c r="H154" s="12">
        <v>1.472</v>
      </c>
      <c r="I154" s="13">
        <v>2.6749999999999998</v>
      </c>
      <c r="J154" s="18">
        <f t="shared" si="5"/>
        <v>2.2140482128013304</v>
      </c>
      <c r="K154" s="18">
        <f t="shared" si="4"/>
        <v>6.5013423648086821</v>
      </c>
      <c r="L154" s="33"/>
      <c r="Q154" s="65"/>
      <c r="R154" s="69"/>
      <c r="S154" s="74"/>
      <c r="T154" s="49"/>
      <c r="U154" s="56">
        <v>5.34</v>
      </c>
      <c r="V154" s="56">
        <v>5.75</v>
      </c>
      <c r="W154" s="1">
        <v>3.3</v>
      </c>
      <c r="X154" s="28">
        <v>2.2890000000000001</v>
      </c>
      <c r="Y154" s="60">
        <v>15.3</v>
      </c>
      <c r="Z154" s="1">
        <v>78</v>
      </c>
      <c r="AA154" s="60">
        <v>0.9</v>
      </c>
      <c r="AB154" s="1">
        <v>81</v>
      </c>
      <c r="AC154" s="1">
        <v>50</v>
      </c>
      <c r="AD154" s="1">
        <v>35</v>
      </c>
      <c r="AE154" s="36">
        <v>4.7</v>
      </c>
    </row>
    <row r="155" spans="1:31" ht="16" thickBot="1" x14ac:dyDescent="0.25">
      <c r="A155" s="1">
        <v>15</v>
      </c>
      <c r="B155" s="1" t="s">
        <v>64</v>
      </c>
      <c r="C155" s="29">
        <v>2.3679999999999999</v>
      </c>
      <c r="D155" s="2">
        <v>19</v>
      </c>
      <c r="E155" s="2">
        <v>2</v>
      </c>
      <c r="F155" s="2">
        <v>4</v>
      </c>
      <c r="G155" s="16">
        <v>2.5895000000000001</v>
      </c>
      <c r="H155" s="10">
        <v>1.4185000000000001</v>
      </c>
      <c r="I155" s="17">
        <v>2.5920000000000001</v>
      </c>
      <c r="J155" s="20">
        <f t="shared" si="5"/>
        <v>2.2066467831273968</v>
      </c>
      <c r="K155" s="20">
        <f t="shared" si="4"/>
        <v>6.8139027395524909</v>
      </c>
      <c r="L155" s="34"/>
      <c r="M155" s="2"/>
      <c r="N155" s="39"/>
      <c r="O155" s="46"/>
      <c r="P155" s="46"/>
      <c r="Q155" s="66"/>
      <c r="R155" s="70"/>
      <c r="S155" s="76"/>
      <c r="T155" s="50"/>
      <c r="U155" s="57">
        <v>5.34</v>
      </c>
      <c r="V155" s="57">
        <v>5.75</v>
      </c>
      <c r="W155" s="2">
        <v>3.3</v>
      </c>
      <c r="X155" s="29">
        <v>2.2890000000000001</v>
      </c>
      <c r="Y155" s="61">
        <v>15.3</v>
      </c>
      <c r="Z155" s="2">
        <v>78</v>
      </c>
      <c r="AA155" s="61">
        <v>0.9</v>
      </c>
      <c r="AB155" s="2">
        <v>81</v>
      </c>
      <c r="AC155" s="2">
        <v>50</v>
      </c>
      <c r="AD155" s="2">
        <v>35</v>
      </c>
      <c r="AE155" s="4">
        <v>4.7</v>
      </c>
    </row>
    <row r="156" spans="1:31" x14ac:dyDescent="0.2">
      <c r="A156" s="1">
        <v>16</v>
      </c>
      <c r="B156" s="1" t="s">
        <v>65</v>
      </c>
      <c r="C156" s="28">
        <v>2.387</v>
      </c>
      <c r="D156" s="1">
        <v>19</v>
      </c>
      <c r="E156" s="26">
        <v>1</v>
      </c>
      <c r="F156" s="26">
        <v>0</v>
      </c>
      <c r="G156" s="21">
        <v>24.442</v>
      </c>
      <c r="H156" s="22">
        <v>13.570499999999999</v>
      </c>
      <c r="I156" s="23">
        <v>24.698499999999999</v>
      </c>
      <c r="J156" s="24">
        <f t="shared" si="5"/>
        <v>2.1964414090582314</v>
      </c>
      <c r="K156" s="24">
        <f t="shared" si="4"/>
        <v>7.9831835333795009</v>
      </c>
      <c r="L156" s="33">
        <v>0</v>
      </c>
      <c r="Q156" s="65"/>
      <c r="R156" s="69"/>
      <c r="S156" s="74"/>
      <c r="T156" s="49"/>
      <c r="U156" s="56">
        <v>4.7300000000000004</v>
      </c>
      <c r="V156" s="56">
        <v>5.55</v>
      </c>
      <c r="W156" s="1">
        <v>3.5</v>
      </c>
      <c r="X156" s="28">
        <v>2.302</v>
      </c>
      <c r="Y156" s="60">
        <v>14.2</v>
      </c>
      <c r="Z156" s="1">
        <v>75</v>
      </c>
      <c r="AA156" s="60">
        <v>1.1000000000000001</v>
      </c>
      <c r="AB156" s="1">
        <v>88</v>
      </c>
      <c r="AC156" s="1">
        <v>58</v>
      </c>
      <c r="AD156" s="1">
        <v>39</v>
      </c>
      <c r="AE156" s="36">
        <v>5.3</v>
      </c>
    </row>
    <row r="157" spans="1:31" x14ac:dyDescent="0.2">
      <c r="A157" s="1">
        <v>16</v>
      </c>
      <c r="B157" s="1" t="s">
        <v>65</v>
      </c>
      <c r="C157" s="28">
        <v>2.387</v>
      </c>
      <c r="D157" s="1">
        <v>19</v>
      </c>
      <c r="E157" s="1">
        <v>1</v>
      </c>
      <c r="F157" s="1">
        <v>1</v>
      </c>
      <c r="G157" s="11">
        <v>2.6905000000000001</v>
      </c>
      <c r="H157" s="12">
        <v>1.4930000000000001</v>
      </c>
      <c r="I157" s="13">
        <v>2.6949999999999998</v>
      </c>
      <c r="J157" s="18">
        <f t="shared" si="5"/>
        <v>2.2383527454242933</v>
      </c>
      <c r="K157" s="18">
        <f t="shared" si="4"/>
        <v>6.2273671795436414</v>
      </c>
      <c r="L157" s="33">
        <v>600</v>
      </c>
      <c r="M157" s="1">
        <v>1</v>
      </c>
      <c r="N157" s="38">
        <v>45677</v>
      </c>
      <c r="O157" s="44">
        <v>2793</v>
      </c>
      <c r="P157" s="44">
        <v>4643</v>
      </c>
      <c r="Q157" s="65">
        <v>1.4630000000000001</v>
      </c>
      <c r="R157" s="69">
        <v>1391.5</v>
      </c>
      <c r="S157" s="74">
        <v>1393</v>
      </c>
      <c r="T157" s="49">
        <v>14000</v>
      </c>
      <c r="U157" s="56">
        <v>4.7300000000000004</v>
      </c>
      <c r="V157" s="56">
        <v>5.55</v>
      </c>
      <c r="W157" s="1">
        <v>3.5</v>
      </c>
      <c r="X157" s="28">
        <v>2.302</v>
      </c>
      <c r="Y157" s="60">
        <v>14.2</v>
      </c>
      <c r="Z157" s="1">
        <v>75</v>
      </c>
      <c r="AA157" s="60">
        <v>1.1000000000000001</v>
      </c>
      <c r="AB157" s="1">
        <v>88</v>
      </c>
      <c r="AC157" s="1">
        <v>58</v>
      </c>
      <c r="AD157" s="1">
        <v>39</v>
      </c>
      <c r="AE157" s="36">
        <v>5.3</v>
      </c>
    </row>
    <row r="158" spans="1:31" x14ac:dyDescent="0.2">
      <c r="A158" s="1">
        <v>16</v>
      </c>
      <c r="B158" s="1" t="s">
        <v>65</v>
      </c>
      <c r="C158" s="28">
        <v>2.387</v>
      </c>
      <c r="D158" s="1">
        <v>19</v>
      </c>
      <c r="E158" s="1">
        <v>1</v>
      </c>
      <c r="F158" s="1">
        <v>2</v>
      </c>
      <c r="G158" s="11">
        <v>2.6164999999999998</v>
      </c>
      <c r="H158" s="12">
        <v>1.4504999999999999</v>
      </c>
      <c r="I158" s="13">
        <v>2.62</v>
      </c>
      <c r="J158" s="18">
        <f t="shared" si="5"/>
        <v>2.2372808892689178</v>
      </c>
      <c r="K158" s="18">
        <f t="shared" si="4"/>
        <v>6.2722710821567773</v>
      </c>
      <c r="L158" s="33">
        <v>400</v>
      </c>
      <c r="M158" s="1">
        <v>2</v>
      </c>
      <c r="N158" s="38">
        <v>45677</v>
      </c>
      <c r="O158" s="44">
        <v>2050</v>
      </c>
      <c r="P158" s="44">
        <v>5123</v>
      </c>
      <c r="Q158" s="65">
        <v>0.55200000000000005</v>
      </c>
      <c r="R158" s="69">
        <v>1081.7</v>
      </c>
      <c r="S158" s="74">
        <v>2963</v>
      </c>
      <c r="T158" s="49">
        <v>659840</v>
      </c>
      <c r="U158" s="56">
        <v>4.7300000000000004</v>
      </c>
      <c r="V158" s="56">
        <v>5.55</v>
      </c>
      <c r="W158" s="1">
        <v>3.5</v>
      </c>
      <c r="X158" s="28">
        <v>2.302</v>
      </c>
      <c r="Y158" s="60">
        <v>14.2</v>
      </c>
      <c r="Z158" s="1">
        <v>75</v>
      </c>
      <c r="AA158" s="60">
        <v>1.1000000000000001</v>
      </c>
      <c r="AB158" s="1">
        <v>88</v>
      </c>
      <c r="AC158" s="1">
        <v>58</v>
      </c>
      <c r="AD158" s="1">
        <v>39</v>
      </c>
      <c r="AE158" s="36">
        <v>5.3</v>
      </c>
    </row>
    <row r="159" spans="1:31" x14ac:dyDescent="0.2">
      <c r="A159" s="1">
        <v>16</v>
      </c>
      <c r="B159" s="1" t="s">
        <v>65</v>
      </c>
      <c r="C159" s="28">
        <v>2.387</v>
      </c>
      <c r="D159" s="1">
        <v>19</v>
      </c>
      <c r="E159" s="1">
        <v>1</v>
      </c>
      <c r="F159" s="1">
        <v>3</v>
      </c>
      <c r="G159" s="11">
        <v>2.7040000000000002</v>
      </c>
      <c r="H159" s="12">
        <v>1.4990000000000001</v>
      </c>
      <c r="I159" s="13">
        <v>2.706</v>
      </c>
      <c r="J159" s="18">
        <f t="shared" si="5"/>
        <v>2.2402651201325603</v>
      </c>
      <c r="K159" s="18">
        <f t="shared" si="4"/>
        <v>6.1472509370523509</v>
      </c>
      <c r="L159" s="33">
        <v>600</v>
      </c>
      <c r="M159" s="1">
        <v>3</v>
      </c>
      <c r="N159" s="38">
        <v>45678</v>
      </c>
      <c r="O159" s="44">
        <v>3820</v>
      </c>
      <c r="P159" s="44">
        <v>6349</v>
      </c>
      <c r="Q159" s="65">
        <v>1.744</v>
      </c>
      <c r="R159" s="69">
        <v>1884.1</v>
      </c>
      <c r="S159" s="74">
        <v>1901</v>
      </c>
      <c r="T159" s="49">
        <v>42500</v>
      </c>
      <c r="U159" s="56">
        <v>4.7300000000000004</v>
      </c>
      <c r="V159" s="56">
        <v>5.55</v>
      </c>
      <c r="W159" s="1">
        <v>3.5</v>
      </c>
      <c r="X159" s="28">
        <v>2.302</v>
      </c>
      <c r="Y159" s="60">
        <v>14.2</v>
      </c>
      <c r="Z159" s="1">
        <v>75</v>
      </c>
      <c r="AA159" s="60">
        <v>1.1000000000000001</v>
      </c>
      <c r="AB159" s="1">
        <v>88</v>
      </c>
      <c r="AC159" s="1">
        <v>58</v>
      </c>
      <c r="AD159" s="1">
        <v>39</v>
      </c>
      <c r="AE159" s="36">
        <v>5.3</v>
      </c>
    </row>
    <row r="160" spans="1:31" x14ac:dyDescent="0.2">
      <c r="A160" s="1">
        <v>16</v>
      </c>
      <c r="B160" s="1" t="s">
        <v>65</v>
      </c>
      <c r="C160" s="28">
        <v>2.387</v>
      </c>
      <c r="D160" s="1">
        <v>19</v>
      </c>
      <c r="E160" s="5">
        <v>1</v>
      </c>
      <c r="F160" s="5">
        <v>4</v>
      </c>
      <c r="G160" s="14">
        <v>2.6395</v>
      </c>
      <c r="H160" s="9">
        <v>1.4644999999999999</v>
      </c>
      <c r="I160" s="15">
        <v>2.6435</v>
      </c>
      <c r="J160" s="19">
        <f t="shared" si="5"/>
        <v>2.2387616624257842</v>
      </c>
      <c r="K160" s="19">
        <f t="shared" si="4"/>
        <v>6.2102361782243705</v>
      </c>
      <c r="L160" s="41">
        <v>400</v>
      </c>
      <c r="M160" s="5">
        <v>4</v>
      </c>
      <c r="N160" s="42">
        <v>45679</v>
      </c>
      <c r="O160" s="47">
        <v>2299</v>
      </c>
      <c r="P160" s="47">
        <v>5739</v>
      </c>
      <c r="Q160" s="67">
        <v>0.64900000000000002</v>
      </c>
      <c r="R160" s="71">
        <v>1138.3</v>
      </c>
      <c r="S160" s="75">
        <v>2709</v>
      </c>
      <c r="T160" s="51">
        <v>808960</v>
      </c>
      <c r="U160" s="58">
        <v>4.7300000000000004</v>
      </c>
      <c r="V160" s="58">
        <v>5.55</v>
      </c>
      <c r="W160" s="5">
        <v>3.5</v>
      </c>
      <c r="X160" s="53">
        <v>2.302</v>
      </c>
      <c r="Y160" s="62">
        <v>14.2</v>
      </c>
      <c r="Z160" s="5">
        <v>75</v>
      </c>
      <c r="AA160" s="62">
        <v>1.1000000000000001</v>
      </c>
      <c r="AB160" s="5">
        <v>88</v>
      </c>
      <c r="AC160" s="5">
        <v>58</v>
      </c>
      <c r="AD160" s="5">
        <v>39</v>
      </c>
      <c r="AE160" s="43">
        <v>5.3</v>
      </c>
    </row>
    <row r="161" spans="1:31" x14ac:dyDescent="0.2">
      <c r="A161" s="1">
        <v>16</v>
      </c>
      <c r="B161" s="1" t="s">
        <v>66</v>
      </c>
      <c r="C161" s="28">
        <v>2.387</v>
      </c>
      <c r="D161" s="1">
        <v>19</v>
      </c>
      <c r="E161" s="26">
        <v>2</v>
      </c>
      <c r="F161" s="26">
        <v>0</v>
      </c>
      <c r="G161" s="21">
        <v>24.004000000000001</v>
      </c>
      <c r="H161" s="22">
        <v>13.323</v>
      </c>
      <c r="I161" s="23">
        <v>24.2455</v>
      </c>
      <c r="J161" s="24">
        <f t="shared" si="5"/>
        <v>2.1976653696498056</v>
      </c>
      <c r="K161" s="24">
        <f t="shared" si="4"/>
        <v>7.9319074298363823</v>
      </c>
      <c r="L161" s="33">
        <v>0</v>
      </c>
      <c r="Q161" s="65"/>
      <c r="R161" s="69"/>
      <c r="S161" s="74"/>
      <c r="T161" s="49"/>
      <c r="U161" s="56">
        <v>4.7300000000000004</v>
      </c>
      <c r="V161" s="56">
        <v>5.55</v>
      </c>
      <c r="W161" s="1">
        <v>3.5</v>
      </c>
      <c r="X161" s="28">
        <v>2.302</v>
      </c>
      <c r="Y161" s="60">
        <v>14.2</v>
      </c>
      <c r="Z161" s="1">
        <v>75</v>
      </c>
      <c r="AA161" s="60">
        <v>1.1000000000000001</v>
      </c>
      <c r="AB161" s="1">
        <v>88</v>
      </c>
      <c r="AC161" s="1">
        <v>58</v>
      </c>
      <c r="AD161" s="1">
        <v>39</v>
      </c>
      <c r="AE161" s="36">
        <v>5.3</v>
      </c>
    </row>
    <row r="162" spans="1:31" x14ac:dyDescent="0.2">
      <c r="A162" s="1">
        <v>16</v>
      </c>
      <c r="B162" s="1" t="s">
        <v>66</v>
      </c>
      <c r="C162" s="28">
        <v>2.387</v>
      </c>
      <c r="D162" s="1">
        <v>19</v>
      </c>
      <c r="E162" s="1">
        <v>2</v>
      </c>
      <c r="F162" s="1">
        <v>1</v>
      </c>
      <c r="G162" s="11">
        <v>2.7130000000000001</v>
      </c>
      <c r="H162" s="12">
        <v>1.5035000000000001</v>
      </c>
      <c r="I162" s="13">
        <v>2.7174999999999998</v>
      </c>
      <c r="J162" s="18">
        <f t="shared" si="5"/>
        <v>2.2347611202635917</v>
      </c>
      <c r="K162" s="18">
        <f t="shared" si="4"/>
        <v>6.3778332524678794</v>
      </c>
      <c r="L162" s="33">
        <v>600</v>
      </c>
      <c r="M162" s="1">
        <v>1</v>
      </c>
      <c r="N162" s="38">
        <v>45680</v>
      </c>
      <c r="O162" s="44">
        <v>2026</v>
      </c>
      <c r="P162" s="44">
        <v>3385</v>
      </c>
      <c r="Q162" s="65">
        <v>1.36</v>
      </c>
      <c r="R162" s="69">
        <v>985.7</v>
      </c>
      <c r="S162" s="74">
        <v>1334</v>
      </c>
      <c r="T162" s="49">
        <v>41250</v>
      </c>
      <c r="U162" s="56">
        <v>4.7300000000000004</v>
      </c>
      <c r="V162" s="56">
        <v>5.55</v>
      </c>
      <c r="W162" s="1">
        <v>3.5</v>
      </c>
      <c r="X162" s="28">
        <v>2.302</v>
      </c>
      <c r="Y162" s="60">
        <v>14.2</v>
      </c>
      <c r="Z162" s="1">
        <v>75</v>
      </c>
      <c r="AA162" s="60">
        <v>1.1000000000000001</v>
      </c>
      <c r="AB162" s="1">
        <v>88</v>
      </c>
      <c r="AC162" s="1">
        <v>58</v>
      </c>
      <c r="AD162" s="1">
        <v>39</v>
      </c>
      <c r="AE162" s="36">
        <v>5.3</v>
      </c>
    </row>
    <row r="163" spans="1:31" x14ac:dyDescent="0.2">
      <c r="A163" s="1">
        <v>16</v>
      </c>
      <c r="B163" s="1" t="s">
        <v>66</v>
      </c>
      <c r="C163" s="28">
        <v>2.387</v>
      </c>
      <c r="D163" s="1">
        <v>19</v>
      </c>
      <c r="E163" s="1">
        <v>2</v>
      </c>
      <c r="F163" s="1">
        <v>2</v>
      </c>
      <c r="G163" s="11">
        <v>2.6095000000000002</v>
      </c>
      <c r="H163" s="12">
        <v>1.452</v>
      </c>
      <c r="I163" s="13">
        <v>2.6194999999999999</v>
      </c>
      <c r="J163" s="18">
        <f t="shared" si="5"/>
        <v>2.2351177730192719</v>
      </c>
      <c r="K163" s="18">
        <f t="shared" si="4"/>
        <v>6.3628917880489304</v>
      </c>
      <c r="L163" s="33">
        <v>400</v>
      </c>
      <c r="M163" s="1">
        <v>2</v>
      </c>
      <c r="N163" s="38">
        <v>45680</v>
      </c>
      <c r="O163" s="44">
        <v>2018</v>
      </c>
      <c r="P163" s="44">
        <v>5049</v>
      </c>
      <c r="Q163" s="65">
        <v>0.65600000000000003</v>
      </c>
      <c r="R163" s="69">
        <v>1015.1</v>
      </c>
      <c r="S163" s="74">
        <v>1510</v>
      </c>
      <c r="T163" s="49">
        <v>462500</v>
      </c>
      <c r="U163" s="56">
        <v>4.7300000000000004</v>
      </c>
      <c r="V163" s="56">
        <v>5.55</v>
      </c>
      <c r="W163" s="1">
        <v>3.5</v>
      </c>
      <c r="X163" s="28">
        <v>2.302</v>
      </c>
      <c r="Y163" s="60">
        <v>14.2</v>
      </c>
      <c r="Z163" s="1">
        <v>75</v>
      </c>
      <c r="AA163" s="60">
        <v>1.1000000000000001</v>
      </c>
      <c r="AB163" s="1">
        <v>88</v>
      </c>
      <c r="AC163" s="1">
        <v>58</v>
      </c>
      <c r="AD163" s="1">
        <v>39</v>
      </c>
      <c r="AE163" s="36">
        <v>5.3</v>
      </c>
    </row>
    <row r="164" spans="1:31" x14ac:dyDescent="0.2">
      <c r="A164" s="1">
        <v>16</v>
      </c>
      <c r="B164" s="1" t="s">
        <v>66</v>
      </c>
      <c r="C164" s="28">
        <v>2.387</v>
      </c>
      <c r="D164" s="1">
        <v>19</v>
      </c>
      <c r="E164" s="1">
        <v>2</v>
      </c>
      <c r="F164" s="1">
        <v>3</v>
      </c>
      <c r="G164" s="11">
        <v>2.6629999999999998</v>
      </c>
      <c r="H164" s="12">
        <v>1.4770000000000001</v>
      </c>
      <c r="I164" s="13">
        <v>2.6655000000000002</v>
      </c>
      <c r="J164" s="18">
        <f t="shared" si="5"/>
        <v>2.2406394615060998</v>
      </c>
      <c r="K164" s="18">
        <f t="shared" si="4"/>
        <v>6.1315684329241833</v>
      </c>
      <c r="L164" s="33"/>
      <c r="Q164" s="65"/>
      <c r="R164" s="69"/>
      <c r="S164" s="74"/>
      <c r="T164" s="49"/>
      <c r="U164" s="56">
        <v>4.7300000000000004</v>
      </c>
      <c r="V164" s="56">
        <v>5.55</v>
      </c>
      <c r="W164" s="1">
        <v>3.5</v>
      </c>
      <c r="X164" s="28">
        <v>2.302</v>
      </c>
      <c r="Y164" s="60">
        <v>14.2</v>
      </c>
      <c r="Z164" s="1">
        <v>75</v>
      </c>
      <c r="AA164" s="60">
        <v>1.1000000000000001</v>
      </c>
      <c r="AB164" s="1">
        <v>88</v>
      </c>
      <c r="AC164" s="1">
        <v>58</v>
      </c>
      <c r="AD164" s="1">
        <v>39</v>
      </c>
      <c r="AE164" s="36">
        <v>5.3</v>
      </c>
    </row>
    <row r="165" spans="1:31" ht="16" thickBot="1" x14ac:dyDescent="0.25">
      <c r="A165" s="1">
        <v>16</v>
      </c>
      <c r="B165" s="1" t="s">
        <v>66</v>
      </c>
      <c r="C165" s="29">
        <v>2.387</v>
      </c>
      <c r="D165" s="2">
        <v>19</v>
      </c>
      <c r="E165" s="2">
        <v>2</v>
      </c>
      <c r="F165" s="2">
        <v>4</v>
      </c>
      <c r="G165" s="16">
        <v>2.6480000000000001</v>
      </c>
      <c r="H165" s="10">
        <v>1.47</v>
      </c>
      <c r="I165" s="17">
        <v>2.6520000000000001</v>
      </c>
      <c r="J165" s="20">
        <f t="shared" si="5"/>
        <v>2.2402707275803722</v>
      </c>
      <c r="K165" s="20">
        <f t="shared" si="4"/>
        <v>6.1470160209312059</v>
      </c>
      <c r="L165" s="34"/>
      <c r="M165" s="2"/>
      <c r="N165" s="39"/>
      <c r="O165" s="46"/>
      <c r="P165" s="46"/>
      <c r="Q165" s="66"/>
      <c r="R165" s="70"/>
      <c r="S165" s="76"/>
      <c r="T165" s="50"/>
      <c r="U165" s="57">
        <v>4.7300000000000004</v>
      </c>
      <c r="V165" s="57">
        <v>5.55</v>
      </c>
      <c r="W165" s="2">
        <v>3.5</v>
      </c>
      <c r="X165" s="29">
        <v>2.302</v>
      </c>
      <c r="Y165" s="61">
        <v>14.2</v>
      </c>
      <c r="Z165" s="2">
        <v>75</v>
      </c>
      <c r="AA165" s="61">
        <v>1.1000000000000001</v>
      </c>
      <c r="AB165" s="2">
        <v>88</v>
      </c>
      <c r="AC165" s="2">
        <v>58</v>
      </c>
      <c r="AD165" s="2">
        <v>39</v>
      </c>
      <c r="AE165" s="4">
        <v>5.3</v>
      </c>
    </row>
    <row r="166" spans="1:31" x14ac:dyDescent="0.2">
      <c r="A166" s="1">
        <v>17</v>
      </c>
      <c r="B166" s="1" t="s">
        <v>67</v>
      </c>
      <c r="C166" s="28">
        <v>2.39</v>
      </c>
      <c r="D166" s="1">
        <v>19</v>
      </c>
      <c r="E166" s="26">
        <v>1</v>
      </c>
      <c r="F166" s="26">
        <v>0</v>
      </c>
      <c r="G166" s="21">
        <v>24.115500000000001</v>
      </c>
      <c r="H166" s="22">
        <v>13.432</v>
      </c>
      <c r="I166" s="23">
        <v>24.3355</v>
      </c>
      <c r="J166" s="24">
        <f t="shared" si="5"/>
        <v>2.211721007016096</v>
      </c>
      <c r="K166" s="24">
        <f t="shared" si="4"/>
        <v>7.4593720913767374</v>
      </c>
      <c r="L166" s="33">
        <v>0</v>
      </c>
      <c r="Q166" s="65"/>
      <c r="R166" s="69"/>
      <c r="S166" s="74"/>
      <c r="T166" s="49"/>
      <c r="U166" s="56">
        <v>4.7300000000000004</v>
      </c>
      <c r="V166" s="56">
        <v>5.67</v>
      </c>
      <c r="W166" s="1">
        <v>3.3</v>
      </c>
      <c r="X166" s="28">
        <v>2.31</v>
      </c>
      <c r="Y166" s="60">
        <v>14</v>
      </c>
      <c r="Z166" s="1">
        <v>76</v>
      </c>
      <c r="AA166" s="60">
        <v>1.1000000000000001</v>
      </c>
      <c r="AB166" s="1">
        <v>87</v>
      </c>
      <c r="AC166" s="1">
        <v>56</v>
      </c>
      <c r="AD166" s="1">
        <v>38</v>
      </c>
      <c r="AE166" s="36">
        <v>5.3</v>
      </c>
    </row>
    <row r="167" spans="1:31" x14ac:dyDescent="0.2">
      <c r="A167" s="1">
        <v>17</v>
      </c>
      <c r="B167" s="1" t="s">
        <v>67</v>
      </c>
      <c r="C167" s="28">
        <v>2.39</v>
      </c>
      <c r="D167" s="1">
        <v>19</v>
      </c>
      <c r="E167" s="1">
        <v>1</v>
      </c>
      <c r="F167" s="1">
        <v>1</v>
      </c>
      <c r="G167" s="11">
        <v>2.4727999999999999</v>
      </c>
      <c r="H167" s="12">
        <v>1.3745000000000001</v>
      </c>
      <c r="I167" s="13">
        <v>2.4792999999999998</v>
      </c>
      <c r="J167" s="18">
        <f t="shared" si="5"/>
        <v>2.2382331643736428</v>
      </c>
      <c r="K167" s="18">
        <f t="shared" si="4"/>
        <v>6.3500768044500999</v>
      </c>
      <c r="L167" s="33">
        <v>600</v>
      </c>
      <c r="M167" s="1">
        <v>1</v>
      </c>
      <c r="N167" s="38">
        <v>45681</v>
      </c>
      <c r="O167" s="44">
        <v>2922</v>
      </c>
      <c r="P167" s="44">
        <v>4875</v>
      </c>
      <c r="Q167" s="65">
        <v>1.726</v>
      </c>
      <c r="R167" s="69">
        <v>1375.9</v>
      </c>
      <c r="S167" s="74">
        <v>2759</v>
      </c>
      <c r="T167" s="49">
        <v>155470</v>
      </c>
      <c r="U167" s="56">
        <v>4.7300000000000004</v>
      </c>
      <c r="V167" s="56">
        <v>5.67</v>
      </c>
      <c r="W167" s="1">
        <v>3.3</v>
      </c>
      <c r="X167" s="28">
        <v>2.31</v>
      </c>
      <c r="Y167" s="60">
        <v>14</v>
      </c>
      <c r="Z167" s="1">
        <v>76</v>
      </c>
      <c r="AA167" s="60">
        <v>1.1000000000000001</v>
      </c>
      <c r="AB167" s="1">
        <v>87</v>
      </c>
      <c r="AC167" s="1">
        <v>56</v>
      </c>
      <c r="AD167" s="1">
        <v>38</v>
      </c>
      <c r="AE167" s="36">
        <v>5.3</v>
      </c>
    </row>
    <row r="168" spans="1:31" x14ac:dyDescent="0.2">
      <c r="A168" s="1">
        <v>17</v>
      </c>
      <c r="B168" s="1" t="s">
        <v>67</v>
      </c>
      <c r="C168" s="28">
        <v>2.39</v>
      </c>
      <c r="D168" s="1">
        <v>19</v>
      </c>
      <c r="E168" s="1">
        <v>1</v>
      </c>
      <c r="F168" s="1">
        <v>2</v>
      </c>
      <c r="G168" s="11">
        <v>2.4573</v>
      </c>
      <c r="H168" s="12">
        <v>1.3634999999999999</v>
      </c>
      <c r="I168" s="13">
        <v>2.4601999999999999</v>
      </c>
      <c r="J168" s="18">
        <f t="shared" si="5"/>
        <v>2.2406309838606728</v>
      </c>
      <c r="K168" s="18">
        <f t="shared" si="4"/>
        <v>6.2497496292605597</v>
      </c>
      <c r="L168" s="33">
        <v>600</v>
      </c>
      <c r="M168" s="1">
        <v>2</v>
      </c>
      <c r="N168" s="38">
        <v>45685</v>
      </c>
      <c r="O168" s="44">
        <v>2743</v>
      </c>
      <c r="P168" s="44">
        <v>4565</v>
      </c>
      <c r="Q168" s="65">
        <v>1.8220000000000001</v>
      </c>
      <c r="R168" s="69">
        <v>1296.4000000000001</v>
      </c>
      <c r="S168" s="74">
        <v>2480</v>
      </c>
      <c r="T168" s="49">
        <v>87720</v>
      </c>
      <c r="U168" s="56">
        <v>4.7300000000000004</v>
      </c>
      <c r="V168" s="56">
        <v>5.67</v>
      </c>
      <c r="W168" s="1">
        <v>3.3</v>
      </c>
      <c r="X168" s="28">
        <v>2.31</v>
      </c>
      <c r="Y168" s="60">
        <v>14</v>
      </c>
      <c r="Z168" s="1">
        <v>76</v>
      </c>
      <c r="AA168" s="60">
        <v>1.1000000000000001</v>
      </c>
      <c r="AB168" s="1">
        <v>87</v>
      </c>
      <c r="AC168" s="1">
        <v>56</v>
      </c>
      <c r="AD168" s="1">
        <v>38</v>
      </c>
      <c r="AE168" s="36">
        <v>5.3</v>
      </c>
    </row>
    <row r="169" spans="1:31" x14ac:dyDescent="0.2">
      <c r="A169" s="1">
        <v>17</v>
      </c>
      <c r="B169" s="1" t="s">
        <v>67</v>
      </c>
      <c r="C169" s="28">
        <v>2.39</v>
      </c>
      <c r="D169" s="1">
        <v>19</v>
      </c>
      <c r="E169" s="1">
        <v>1</v>
      </c>
      <c r="F169" s="1">
        <v>3</v>
      </c>
      <c r="G169" s="11">
        <v>2.4699</v>
      </c>
      <c r="H169" s="12">
        <v>1.3782000000000001</v>
      </c>
      <c r="I169" s="13">
        <v>2.4784999999999999</v>
      </c>
      <c r="J169" s="18">
        <f t="shared" si="5"/>
        <v>2.2447514314277925</v>
      </c>
      <c r="K169" s="18">
        <f t="shared" si="4"/>
        <v>6.0773459653643336</v>
      </c>
      <c r="L169" s="33">
        <v>600</v>
      </c>
      <c r="M169" s="1">
        <v>3</v>
      </c>
      <c r="N169" s="38">
        <v>45685</v>
      </c>
      <c r="O169" s="44">
        <v>3235</v>
      </c>
      <c r="P169" s="44">
        <v>5383</v>
      </c>
      <c r="Q169" s="65">
        <v>1.758</v>
      </c>
      <c r="R169" s="69">
        <v>1579.2</v>
      </c>
      <c r="S169" s="74">
        <v>2454</v>
      </c>
      <c r="T169" s="49">
        <v>86450</v>
      </c>
      <c r="U169" s="56">
        <v>4.7300000000000004</v>
      </c>
      <c r="V169" s="56">
        <v>5.67</v>
      </c>
      <c r="W169" s="1">
        <v>3.3</v>
      </c>
      <c r="X169" s="28">
        <v>2.31</v>
      </c>
      <c r="Y169" s="60">
        <v>14</v>
      </c>
      <c r="Z169" s="1">
        <v>76</v>
      </c>
      <c r="AA169" s="60">
        <v>1.1000000000000001</v>
      </c>
      <c r="AB169" s="1">
        <v>87</v>
      </c>
      <c r="AC169" s="1">
        <v>56</v>
      </c>
      <c r="AD169" s="1">
        <v>38</v>
      </c>
      <c r="AE169" s="36">
        <v>5.3</v>
      </c>
    </row>
    <row r="170" spans="1:31" x14ac:dyDescent="0.2">
      <c r="A170" s="1">
        <v>17</v>
      </c>
      <c r="B170" s="1" t="s">
        <v>67</v>
      </c>
      <c r="C170" s="28">
        <v>2.39</v>
      </c>
      <c r="D170" s="1">
        <v>19</v>
      </c>
      <c r="E170" s="5">
        <v>1</v>
      </c>
      <c r="F170" s="5">
        <v>4</v>
      </c>
      <c r="G170" s="14">
        <v>2.4424999999999999</v>
      </c>
      <c r="H170" s="9">
        <v>1.3534999999999999</v>
      </c>
      <c r="I170" s="15">
        <v>2.4455</v>
      </c>
      <c r="J170" s="19">
        <f t="shared" si="5"/>
        <v>2.2367216117216113</v>
      </c>
      <c r="K170" s="19">
        <f t="shared" si="4"/>
        <v>6.4133216852882313</v>
      </c>
      <c r="L170" s="41">
        <v>400</v>
      </c>
      <c r="M170" s="5">
        <v>4</v>
      </c>
      <c r="N170" s="42">
        <v>45685</v>
      </c>
      <c r="O170" s="47">
        <v>2127</v>
      </c>
      <c r="P170" s="47">
        <v>5318</v>
      </c>
      <c r="Q170" s="67">
        <v>0.79</v>
      </c>
      <c r="R170" s="71">
        <v>1005.9</v>
      </c>
      <c r="S170" s="75">
        <v>2296</v>
      </c>
      <c r="T170" s="51">
        <v>600000</v>
      </c>
      <c r="U170" s="58">
        <v>4.7300000000000004</v>
      </c>
      <c r="V170" s="58">
        <v>5.67</v>
      </c>
      <c r="W170" s="5">
        <v>3.3</v>
      </c>
      <c r="X170" s="53">
        <v>2.31</v>
      </c>
      <c r="Y170" s="62">
        <v>14</v>
      </c>
      <c r="Z170" s="5">
        <v>76</v>
      </c>
      <c r="AA170" s="62">
        <v>1.1000000000000001</v>
      </c>
      <c r="AB170" s="5">
        <v>87</v>
      </c>
      <c r="AC170" s="5">
        <v>56</v>
      </c>
      <c r="AD170" s="5">
        <v>38</v>
      </c>
      <c r="AE170" s="43">
        <v>5.3</v>
      </c>
    </row>
    <row r="171" spans="1:31" x14ac:dyDescent="0.2">
      <c r="A171" s="1">
        <v>17</v>
      </c>
      <c r="B171" s="1" t="s">
        <v>68</v>
      </c>
      <c r="C171" s="28">
        <v>2.39</v>
      </c>
      <c r="D171" s="1">
        <v>19</v>
      </c>
      <c r="E171" s="26">
        <v>2</v>
      </c>
      <c r="F171" s="26">
        <v>0</v>
      </c>
      <c r="G171" s="21">
        <v>23.998000000000001</v>
      </c>
      <c r="H171" s="22">
        <v>13.372</v>
      </c>
      <c r="I171" s="23">
        <v>24.271999999999998</v>
      </c>
      <c r="J171" s="24">
        <f t="shared" si="5"/>
        <v>2.2016513761467893</v>
      </c>
      <c r="K171" s="24">
        <f t="shared" si="4"/>
        <v>7.8806955587117482</v>
      </c>
      <c r="L171" s="33">
        <v>0</v>
      </c>
      <c r="Q171" s="65"/>
      <c r="R171" s="69"/>
      <c r="S171" s="74"/>
      <c r="T171" s="49"/>
      <c r="U171" s="56">
        <v>4.7300000000000004</v>
      </c>
      <c r="V171" s="56">
        <v>5.67</v>
      </c>
      <c r="W171" s="1">
        <v>3.3</v>
      </c>
      <c r="X171" s="28">
        <v>2.31</v>
      </c>
      <c r="Y171" s="60">
        <v>14</v>
      </c>
      <c r="Z171" s="1">
        <v>76</v>
      </c>
      <c r="AA171" s="60">
        <v>1.1000000000000001</v>
      </c>
      <c r="AB171" s="1">
        <v>87</v>
      </c>
      <c r="AC171" s="1">
        <v>56</v>
      </c>
      <c r="AD171" s="1">
        <v>38</v>
      </c>
      <c r="AE171" s="36">
        <v>5.3</v>
      </c>
    </row>
    <row r="172" spans="1:31" x14ac:dyDescent="0.2">
      <c r="A172" s="1">
        <v>17</v>
      </c>
      <c r="B172" s="1" t="s">
        <v>68</v>
      </c>
      <c r="C172" s="28">
        <v>2.39</v>
      </c>
      <c r="D172" s="1">
        <v>19</v>
      </c>
      <c r="E172" s="1">
        <v>2</v>
      </c>
      <c r="F172" s="1">
        <v>1</v>
      </c>
      <c r="G172" s="11">
        <v>2.4752000000000001</v>
      </c>
      <c r="H172" s="12">
        <v>1.3762000000000001</v>
      </c>
      <c r="I172" s="13">
        <v>2.4792000000000001</v>
      </c>
      <c r="J172" s="18">
        <f t="shared" si="5"/>
        <v>2.2440616500453312</v>
      </c>
      <c r="K172" s="18">
        <f t="shared" si="4"/>
        <v>6.1062071110740135</v>
      </c>
      <c r="L172" s="33">
        <v>400</v>
      </c>
      <c r="M172" s="1">
        <v>1</v>
      </c>
      <c r="N172" s="38">
        <v>45683</v>
      </c>
      <c r="O172" s="44">
        <v>2247</v>
      </c>
      <c r="P172" s="44">
        <v>5621</v>
      </c>
      <c r="Q172" s="65">
        <v>0.67700000000000005</v>
      </c>
      <c r="R172" s="69">
        <v>1093.3</v>
      </c>
      <c r="S172" s="74">
        <v>1685</v>
      </c>
      <c r="T172" s="49">
        <v>400000</v>
      </c>
      <c r="U172" s="56">
        <v>4.7300000000000004</v>
      </c>
      <c r="V172" s="56">
        <v>5.67</v>
      </c>
      <c r="W172" s="1">
        <v>3.3</v>
      </c>
      <c r="X172" s="28">
        <v>2.31</v>
      </c>
      <c r="Y172" s="60">
        <v>14</v>
      </c>
      <c r="Z172" s="1">
        <v>76</v>
      </c>
      <c r="AA172" s="60">
        <v>1.1000000000000001</v>
      </c>
      <c r="AB172" s="1">
        <v>87</v>
      </c>
      <c r="AC172" s="1">
        <v>56</v>
      </c>
      <c r="AD172" s="1">
        <v>38</v>
      </c>
      <c r="AE172" s="36">
        <v>5.3</v>
      </c>
    </row>
    <row r="173" spans="1:31" x14ac:dyDescent="0.2">
      <c r="A173" s="1">
        <v>17</v>
      </c>
      <c r="B173" s="1" t="s">
        <v>68</v>
      </c>
      <c r="C173" s="28">
        <v>2.39</v>
      </c>
      <c r="D173" s="1">
        <v>19</v>
      </c>
      <c r="E173" s="1">
        <v>2</v>
      </c>
      <c r="F173" s="1">
        <v>2</v>
      </c>
      <c r="G173" s="11">
        <v>2.4632000000000001</v>
      </c>
      <c r="H173" s="12">
        <v>1.3717999999999999</v>
      </c>
      <c r="I173" s="13">
        <v>2.4695</v>
      </c>
      <c r="J173" s="18">
        <f t="shared" si="5"/>
        <v>2.2439646533661288</v>
      </c>
      <c r="K173" s="18">
        <f t="shared" si="4"/>
        <v>6.1102655495343665</v>
      </c>
      <c r="L173" s="33">
        <v>400</v>
      </c>
      <c r="M173" s="1">
        <v>2</v>
      </c>
      <c r="N173" s="38">
        <v>45687</v>
      </c>
      <c r="O173" s="44">
        <v>1993</v>
      </c>
      <c r="P173" s="44">
        <v>4975</v>
      </c>
      <c r="Q173" s="65">
        <v>0.623</v>
      </c>
      <c r="R173" s="69">
        <v>1018.2</v>
      </c>
      <c r="S173" s="74">
        <v>2643</v>
      </c>
      <c r="T173" s="49">
        <v>833540</v>
      </c>
      <c r="U173" s="56">
        <v>4.7300000000000004</v>
      </c>
      <c r="V173" s="56">
        <v>5.67</v>
      </c>
      <c r="W173" s="1">
        <v>3.3</v>
      </c>
      <c r="X173" s="28">
        <v>2.31</v>
      </c>
      <c r="Y173" s="60">
        <v>14</v>
      </c>
      <c r="Z173" s="1">
        <v>76</v>
      </c>
      <c r="AA173" s="60">
        <v>1.1000000000000001</v>
      </c>
      <c r="AB173" s="1">
        <v>87</v>
      </c>
      <c r="AC173" s="1">
        <v>56</v>
      </c>
      <c r="AD173" s="1">
        <v>38</v>
      </c>
      <c r="AE173" s="36">
        <v>5.3</v>
      </c>
    </row>
    <row r="174" spans="1:31" x14ac:dyDescent="0.2">
      <c r="A174" s="1">
        <v>17</v>
      </c>
      <c r="B174" s="1" t="s">
        <v>68</v>
      </c>
      <c r="C174" s="28">
        <v>2.39</v>
      </c>
      <c r="D174" s="1">
        <v>19</v>
      </c>
      <c r="E174" s="1">
        <v>2</v>
      </c>
      <c r="F174" s="1">
        <v>3</v>
      </c>
      <c r="G174" s="11">
        <v>2.4775</v>
      </c>
      <c r="H174" s="12">
        <v>1.37</v>
      </c>
      <c r="I174" s="13">
        <v>2.4796</v>
      </c>
      <c r="J174" s="18">
        <f t="shared" si="5"/>
        <v>2.2327865897620764</v>
      </c>
      <c r="K174" s="18">
        <f t="shared" si="4"/>
        <v>6.5779669555616653</v>
      </c>
      <c r="L174" s="33"/>
      <c r="Q174" s="65"/>
      <c r="R174" s="69"/>
      <c r="S174" s="74"/>
      <c r="T174" s="49"/>
      <c r="U174" s="56">
        <v>4.7300000000000004</v>
      </c>
      <c r="V174" s="56">
        <v>5.67</v>
      </c>
      <c r="W174" s="1">
        <v>3.3</v>
      </c>
      <c r="X174" s="28">
        <v>2.31</v>
      </c>
      <c r="Y174" s="60">
        <v>14</v>
      </c>
      <c r="Z174" s="1">
        <v>76</v>
      </c>
      <c r="AA174" s="60">
        <v>1.1000000000000001</v>
      </c>
      <c r="AB174" s="1">
        <v>87</v>
      </c>
      <c r="AC174" s="1">
        <v>56</v>
      </c>
      <c r="AD174" s="1">
        <v>38</v>
      </c>
      <c r="AE174" s="36">
        <v>5.3</v>
      </c>
    </row>
    <row r="175" spans="1:31" ht="16" thickBot="1" x14ac:dyDescent="0.25">
      <c r="A175" s="1">
        <v>17</v>
      </c>
      <c r="B175" s="1" t="s">
        <v>68</v>
      </c>
      <c r="C175" s="29">
        <v>2.39</v>
      </c>
      <c r="D175" s="2">
        <v>19</v>
      </c>
      <c r="E175" s="2">
        <v>2</v>
      </c>
      <c r="F175" s="2">
        <v>4</v>
      </c>
      <c r="G175" s="16">
        <v>2.4639000000000002</v>
      </c>
      <c r="H175" s="10">
        <v>1.3702000000000001</v>
      </c>
      <c r="I175" s="17">
        <v>2.4685000000000001</v>
      </c>
      <c r="J175" s="20">
        <f t="shared" si="5"/>
        <v>2.2433761267413277</v>
      </c>
      <c r="K175" s="20">
        <f t="shared" si="4"/>
        <v>6.1348900945051188</v>
      </c>
      <c r="L175" s="34"/>
      <c r="M175" s="2"/>
      <c r="N175" s="39"/>
      <c r="O175" s="46"/>
      <c r="P175" s="46"/>
      <c r="Q175" s="66"/>
      <c r="R175" s="70"/>
      <c r="S175" s="76"/>
      <c r="T175" s="50"/>
      <c r="U175" s="57">
        <v>4.7300000000000004</v>
      </c>
      <c r="V175" s="57">
        <v>5.67</v>
      </c>
      <c r="W175" s="2">
        <v>3.3</v>
      </c>
      <c r="X175" s="29">
        <v>2.31</v>
      </c>
      <c r="Y175" s="61">
        <v>14</v>
      </c>
      <c r="Z175" s="2">
        <v>76</v>
      </c>
      <c r="AA175" s="61">
        <v>1.1000000000000001</v>
      </c>
      <c r="AB175" s="2">
        <v>87</v>
      </c>
      <c r="AC175" s="2">
        <v>56</v>
      </c>
      <c r="AD175" s="2">
        <v>38</v>
      </c>
      <c r="AE175" s="4">
        <v>5.3</v>
      </c>
    </row>
    <row r="176" spans="1:31" x14ac:dyDescent="0.2">
      <c r="A176" s="1">
        <v>18</v>
      </c>
      <c r="B176" s="1" t="s">
        <v>69</v>
      </c>
      <c r="C176" s="28">
        <v>2.3929999999999998</v>
      </c>
      <c r="D176" s="1">
        <v>19</v>
      </c>
      <c r="E176" s="26">
        <v>1</v>
      </c>
      <c r="F176" s="26">
        <v>0</v>
      </c>
      <c r="G176" s="21">
        <v>24.0715</v>
      </c>
      <c r="H176" s="22">
        <v>13.452</v>
      </c>
      <c r="I176" s="23">
        <v>24.338999999999999</v>
      </c>
      <c r="J176" s="24">
        <f t="shared" si="5"/>
        <v>2.2110315054652339</v>
      </c>
      <c r="K176" s="24">
        <f t="shared" si="4"/>
        <v>7.6041995208844915</v>
      </c>
      <c r="L176" s="33">
        <v>0</v>
      </c>
      <c r="Q176" s="65"/>
      <c r="R176" s="69"/>
      <c r="S176" s="74"/>
      <c r="T176" s="49"/>
      <c r="U176" s="56">
        <v>4.62</v>
      </c>
      <c r="V176" s="56">
        <v>5.5</v>
      </c>
      <c r="W176" s="1">
        <v>3.4</v>
      </c>
      <c r="X176" s="28">
        <v>2.3109999999999999</v>
      </c>
      <c r="Y176" s="60">
        <v>13.9</v>
      </c>
      <c r="Z176" s="1">
        <v>75</v>
      </c>
      <c r="AA176" s="60">
        <v>1.1000000000000001</v>
      </c>
      <c r="AB176" s="1">
        <v>85</v>
      </c>
      <c r="AC176" s="1">
        <v>50</v>
      </c>
      <c r="AD176" s="1">
        <v>34</v>
      </c>
      <c r="AE176" s="36">
        <v>5</v>
      </c>
    </row>
    <row r="177" spans="1:31" x14ac:dyDescent="0.2">
      <c r="A177" s="1">
        <v>18</v>
      </c>
      <c r="B177" s="1" t="s">
        <v>69</v>
      </c>
      <c r="C177" s="28">
        <v>2.3929999999999998</v>
      </c>
      <c r="D177" s="1">
        <v>19</v>
      </c>
      <c r="E177" s="1">
        <v>1</v>
      </c>
      <c r="F177" s="1">
        <v>1</v>
      </c>
      <c r="G177" s="11">
        <v>2.641</v>
      </c>
      <c r="H177" s="12">
        <v>1.4830000000000001</v>
      </c>
      <c r="I177" s="13">
        <v>2.6665000000000001</v>
      </c>
      <c r="J177" s="18">
        <f t="shared" si="5"/>
        <v>2.2315166877904522</v>
      </c>
      <c r="K177" s="18">
        <f t="shared" si="4"/>
        <v>6.748153456312056</v>
      </c>
      <c r="L177" s="33">
        <v>600</v>
      </c>
      <c r="M177" s="1">
        <v>1</v>
      </c>
      <c r="N177" s="38">
        <v>45688</v>
      </c>
      <c r="O177" s="44">
        <v>3352</v>
      </c>
      <c r="P177" s="44">
        <v>5608</v>
      </c>
      <c r="Q177" s="65">
        <v>1.9219999999999999</v>
      </c>
      <c r="R177" s="69">
        <v>1601.6</v>
      </c>
      <c r="S177" s="74">
        <v>1674</v>
      </c>
      <c r="T177" s="49">
        <v>25000</v>
      </c>
      <c r="U177" s="56">
        <v>4.62</v>
      </c>
      <c r="V177" s="56">
        <v>5.5</v>
      </c>
      <c r="W177" s="1">
        <v>3.4</v>
      </c>
      <c r="X177" s="28">
        <v>2.3109999999999999</v>
      </c>
      <c r="Y177" s="60">
        <v>13.9</v>
      </c>
      <c r="Z177" s="1">
        <v>75</v>
      </c>
      <c r="AA177" s="60">
        <v>1.1000000000000001</v>
      </c>
      <c r="AB177" s="1">
        <v>85</v>
      </c>
      <c r="AC177" s="1">
        <v>50</v>
      </c>
      <c r="AD177" s="1">
        <v>34</v>
      </c>
      <c r="AE177" s="36">
        <v>5</v>
      </c>
    </row>
    <row r="178" spans="1:31" x14ac:dyDescent="0.2">
      <c r="A178" s="1">
        <v>18</v>
      </c>
      <c r="B178" s="1" t="s">
        <v>69</v>
      </c>
      <c r="C178" s="28">
        <v>2.3929999999999998</v>
      </c>
      <c r="D178" s="1">
        <v>19</v>
      </c>
      <c r="E178" s="7">
        <v>1</v>
      </c>
      <c r="F178" s="7">
        <v>2</v>
      </c>
      <c r="G178" s="11">
        <v>2.6764999999999999</v>
      </c>
      <c r="H178" s="12">
        <v>1.5044999999999999</v>
      </c>
      <c r="I178" s="13">
        <v>2.6920000000000002</v>
      </c>
      <c r="J178" s="18">
        <f t="shared" si="5"/>
        <v>2.253894736842105</v>
      </c>
      <c r="K178" s="18">
        <f t="shared" si="4"/>
        <v>5.8130072360173308</v>
      </c>
      <c r="L178" s="33">
        <v>600</v>
      </c>
      <c r="M178" s="1">
        <v>2</v>
      </c>
      <c r="N178" s="38">
        <v>45688</v>
      </c>
      <c r="O178" s="44">
        <v>3165</v>
      </c>
      <c r="P178" s="44">
        <v>5268</v>
      </c>
      <c r="Q178" s="65">
        <v>1.881</v>
      </c>
      <c r="R178" s="69">
        <v>1469</v>
      </c>
      <c r="S178" s="74">
        <v>1566</v>
      </c>
      <c r="T178" s="49">
        <v>145000</v>
      </c>
      <c r="U178" s="56">
        <v>4.62</v>
      </c>
      <c r="V178" s="56">
        <v>5.5</v>
      </c>
      <c r="W178" s="1">
        <v>3.4</v>
      </c>
      <c r="X178" s="28">
        <v>2.3109999999999999</v>
      </c>
      <c r="Y178" s="60">
        <v>13.9</v>
      </c>
      <c r="Z178" s="1">
        <v>75</v>
      </c>
      <c r="AA178" s="60">
        <v>1.1000000000000001</v>
      </c>
      <c r="AB178" s="1">
        <v>85</v>
      </c>
      <c r="AC178" s="1">
        <v>50</v>
      </c>
      <c r="AD178" s="1">
        <v>34</v>
      </c>
      <c r="AE178" s="36">
        <v>5</v>
      </c>
    </row>
    <row r="179" spans="1:31" x14ac:dyDescent="0.2">
      <c r="A179" s="1">
        <v>18</v>
      </c>
      <c r="B179" s="1" t="s">
        <v>69</v>
      </c>
      <c r="C179" s="28">
        <v>2.3929999999999998</v>
      </c>
      <c r="D179" s="1">
        <v>19</v>
      </c>
      <c r="E179" s="1">
        <v>1</v>
      </c>
      <c r="F179" s="1">
        <v>3</v>
      </c>
      <c r="G179" s="11">
        <v>2.6840000000000002</v>
      </c>
      <c r="H179" s="12">
        <v>1.5029999999999999</v>
      </c>
      <c r="I179" s="13">
        <v>2.7054999999999998</v>
      </c>
      <c r="J179" s="18">
        <f t="shared" si="5"/>
        <v>2.2320166320166321</v>
      </c>
      <c r="K179" s="18">
        <f t="shared" si="4"/>
        <v>6.7272615120504646</v>
      </c>
      <c r="L179" s="33">
        <v>400</v>
      </c>
      <c r="M179" s="1">
        <v>3</v>
      </c>
      <c r="N179" s="38">
        <v>45688</v>
      </c>
      <c r="O179" s="44">
        <v>2414</v>
      </c>
      <c r="P179" s="44">
        <v>6046</v>
      </c>
      <c r="Q179" s="65">
        <v>0.77900000000000003</v>
      </c>
      <c r="R179" s="69">
        <v>1162.5999999999999</v>
      </c>
      <c r="S179" s="74">
        <v>1813</v>
      </c>
      <c r="T179" s="49">
        <v>1250000</v>
      </c>
      <c r="U179" s="56">
        <v>4.62</v>
      </c>
      <c r="V179" s="56">
        <v>5.5</v>
      </c>
      <c r="W179" s="1">
        <v>3.4</v>
      </c>
      <c r="X179" s="28">
        <v>2.3109999999999999</v>
      </c>
      <c r="Y179" s="60">
        <v>13.9</v>
      </c>
      <c r="Z179" s="1">
        <v>75</v>
      </c>
      <c r="AA179" s="60">
        <v>1.1000000000000001</v>
      </c>
      <c r="AB179" s="1">
        <v>85</v>
      </c>
      <c r="AC179" s="1">
        <v>50</v>
      </c>
      <c r="AD179" s="1">
        <v>34</v>
      </c>
      <c r="AE179" s="36">
        <v>5</v>
      </c>
    </row>
    <row r="180" spans="1:31" x14ac:dyDescent="0.2">
      <c r="A180" s="1">
        <v>18</v>
      </c>
      <c r="B180" s="1" t="s">
        <v>69</v>
      </c>
      <c r="C180" s="28">
        <v>2.3929999999999998</v>
      </c>
      <c r="D180" s="1">
        <v>19</v>
      </c>
      <c r="E180" s="5">
        <v>1</v>
      </c>
      <c r="F180" s="5">
        <v>4</v>
      </c>
      <c r="G180" s="14">
        <v>2.5485000000000002</v>
      </c>
      <c r="H180" s="9">
        <v>1.4225000000000001</v>
      </c>
      <c r="I180" s="15">
        <v>2.5575000000000001</v>
      </c>
      <c r="J180" s="19">
        <f t="shared" si="5"/>
        <v>2.2453744493392072</v>
      </c>
      <c r="K180" s="19">
        <f t="shared" si="4"/>
        <v>6.1690576958124854</v>
      </c>
      <c r="L180" s="41"/>
      <c r="M180" s="5"/>
      <c r="N180" s="42"/>
      <c r="O180" s="47"/>
      <c r="P180" s="47"/>
      <c r="Q180" s="67"/>
      <c r="R180" s="71"/>
      <c r="S180" s="75"/>
      <c r="T180" s="51"/>
      <c r="U180" s="58">
        <v>4.62</v>
      </c>
      <c r="V180" s="58">
        <v>5.5</v>
      </c>
      <c r="W180" s="5">
        <v>3.4</v>
      </c>
      <c r="X180" s="53">
        <v>2.3109999999999999</v>
      </c>
      <c r="Y180" s="62">
        <v>13.9</v>
      </c>
      <c r="Z180" s="5">
        <v>75</v>
      </c>
      <c r="AA180" s="62">
        <v>1.1000000000000001</v>
      </c>
      <c r="AB180" s="5">
        <v>85</v>
      </c>
      <c r="AC180" s="5">
        <v>50</v>
      </c>
      <c r="AD180" s="5">
        <v>34</v>
      </c>
      <c r="AE180" s="43">
        <v>5</v>
      </c>
    </row>
    <row r="181" spans="1:31" x14ac:dyDescent="0.2">
      <c r="A181" s="1">
        <v>18</v>
      </c>
      <c r="B181" s="1" t="s">
        <v>70</v>
      </c>
      <c r="C181" s="28">
        <v>2.3929999999999998</v>
      </c>
      <c r="D181" s="1">
        <v>19</v>
      </c>
      <c r="E181" s="26">
        <v>2</v>
      </c>
      <c r="F181" s="26">
        <v>0</v>
      </c>
      <c r="G181" s="21">
        <v>24.022500000000001</v>
      </c>
      <c r="H181" s="22">
        <v>13.432499999999999</v>
      </c>
      <c r="I181" s="23">
        <v>24.312000000000001</v>
      </c>
      <c r="J181" s="24">
        <f t="shared" si="5"/>
        <v>2.2080518406176752</v>
      </c>
      <c r="K181" s="24">
        <f t="shared" si="4"/>
        <v>7.7287153941631654</v>
      </c>
      <c r="L181" s="33">
        <v>0</v>
      </c>
      <c r="Q181" s="65"/>
      <c r="R181" s="69"/>
      <c r="S181" s="74"/>
      <c r="T181" s="49"/>
      <c r="U181" s="56">
        <v>4.62</v>
      </c>
      <c r="V181" s="56">
        <v>5.5</v>
      </c>
      <c r="W181" s="1">
        <v>3.4</v>
      </c>
      <c r="X181" s="28">
        <v>2.3109999999999999</v>
      </c>
      <c r="Y181" s="60">
        <v>13.9</v>
      </c>
      <c r="Z181" s="1">
        <v>75</v>
      </c>
      <c r="AA181" s="60">
        <v>1.1000000000000001</v>
      </c>
      <c r="AB181" s="1">
        <v>85</v>
      </c>
      <c r="AC181" s="1">
        <v>50</v>
      </c>
      <c r="AD181" s="1">
        <v>34</v>
      </c>
      <c r="AE181" s="36">
        <v>5</v>
      </c>
    </row>
    <row r="182" spans="1:31" x14ac:dyDescent="0.2">
      <c r="A182" s="1">
        <v>18</v>
      </c>
      <c r="B182" s="1" t="s">
        <v>70</v>
      </c>
      <c r="C182" s="28">
        <v>2.3929999999999998</v>
      </c>
      <c r="D182" s="1">
        <v>19</v>
      </c>
      <c r="E182" s="1">
        <v>2</v>
      </c>
      <c r="F182" s="1">
        <v>1</v>
      </c>
      <c r="G182" s="11">
        <v>2.6265000000000001</v>
      </c>
      <c r="H182" s="12">
        <v>1.46</v>
      </c>
      <c r="I182" s="13">
        <v>2.633</v>
      </c>
      <c r="J182" s="18">
        <f t="shared" si="5"/>
        <v>2.2391304347826089</v>
      </c>
      <c r="K182" s="18">
        <f t="shared" si="4"/>
        <v>6.4299860099202188</v>
      </c>
      <c r="L182" s="33">
        <v>600</v>
      </c>
      <c r="M182" s="1">
        <v>1</v>
      </c>
      <c r="N182" s="38">
        <v>45690</v>
      </c>
      <c r="O182" s="44">
        <v>3498</v>
      </c>
      <c r="P182" s="44">
        <v>5800</v>
      </c>
      <c r="Q182" s="65">
        <v>1.8109999999999999</v>
      </c>
      <c r="R182" s="69">
        <v>1648.8</v>
      </c>
      <c r="S182" s="74">
        <v>2653</v>
      </c>
      <c r="T182" s="49">
        <v>83080</v>
      </c>
      <c r="U182" s="56">
        <v>4.62</v>
      </c>
      <c r="V182" s="56">
        <v>5.5</v>
      </c>
      <c r="W182" s="1">
        <v>3.4</v>
      </c>
      <c r="X182" s="28">
        <v>2.3109999999999999</v>
      </c>
      <c r="Y182" s="60">
        <v>13.9</v>
      </c>
      <c r="Z182" s="1">
        <v>75</v>
      </c>
      <c r="AA182" s="60">
        <v>1.1000000000000001</v>
      </c>
      <c r="AB182" s="1">
        <v>85</v>
      </c>
      <c r="AC182" s="1">
        <v>50</v>
      </c>
      <c r="AD182" s="1">
        <v>34</v>
      </c>
      <c r="AE182" s="36">
        <v>5</v>
      </c>
    </row>
    <row r="183" spans="1:31" x14ac:dyDescent="0.2">
      <c r="A183" s="1">
        <v>18</v>
      </c>
      <c r="B183" s="1" t="s">
        <v>70</v>
      </c>
      <c r="C183" s="28">
        <v>2.3929999999999998</v>
      </c>
      <c r="D183" s="1">
        <v>19</v>
      </c>
      <c r="E183" s="1">
        <v>2</v>
      </c>
      <c r="F183" s="1">
        <v>2</v>
      </c>
      <c r="G183" s="11">
        <v>2.6749999999999998</v>
      </c>
      <c r="H183" s="12">
        <v>1.5035000000000001</v>
      </c>
      <c r="I183" s="13">
        <v>2.6949999999999998</v>
      </c>
      <c r="J183" s="18">
        <f t="shared" si="5"/>
        <v>2.2450692404532107</v>
      </c>
      <c r="K183" s="18">
        <f t="shared" si="4"/>
        <v>6.1818119325862568</v>
      </c>
      <c r="L183" s="33">
        <v>400</v>
      </c>
      <c r="M183" s="1">
        <v>2</v>
      </c>
      <c r="N183" s="38">
        <v>45690</v>
      </c>
      <c r="O183" s="44">
        <v>2345</v>
      </c>
      <c r="P183" s="44">
        <v>5883</v>
      </c>
      <c r="Q183" s="65">
        <v>0.73399999999999999</v>
      </c>
      <c r="R183" s="69">
        <v>1143.4000000000001</v>
      </c>
      <c r="S183" s="74">
        <v>1763</v>
      </c>
      <c r="T183" s="49">
        <v>300000</v>
      </c>
      <c r="U183" s="56">
        <v>4.62</v>
      </c>
      <c r="V183" s="56">
        <v>5.5</v>
      </c>
      <c r="W183" s="1">
        <v>3.4</v>
      </c>
      <c r="X183" s="28">
        <v>2.3109999999999999</v>
      </c>
      <c r="Y183" s="60">
        <v>13.9</v>
      </c>
      <c r="Z183" s="1">
        <v>75</v>
      </c>
      <c r="AA183" s="60">
        <v>1.1000000000000001</v>
      </c>
      <c r="AB183" s="1">
        <v>85</v>
      </c>
      <c r="AC183" s="1">
        <v>50</v>
      </c>
      <c r="AD183" s="1">
        <v>34</v>
      </c>
      <c r="AE183" s="36">
        <v>5</v>
      </c>
    </row>
    <row r="184" spans="1:31" x14ac:dyDescent="0.2">
      <c r="A184" s="1">
        <v>18</v>
      </c>
      <c r="B184" s="1" t="s">
        <v>70</v>
      </c>
      <c r="C184" s="28">
        <v>2.3929999999999998</v>
      </c>
      <c r="D184" s="1">
        <v>19</v>
      </c>
      <c r="E184" s="7">
        <v>2</v>
      </c>
      <c r="F184" s="7">
        <v>3</v>
      </c>
      <c r="G184" s="11">
        <v>2.6484999999999999</v>
      </c>
      <c r="H184" s="12">
        <v>1.488</v>
      </c>
      <c r="I184" s="13">
        <v>2.6575000000000002</v>
      </c>
      <c r="J184" s="18">
        <f t="shared" si="5"/>
        <v>2.2646430098332617</v>
      </c>
      <c r="K184" s="18">
        <f t="shared" si="4"/>
        <v>5.3638524933864673</v>
      </c>
      <c r="L184" s="33">
        <v>400</v>
      </c>
      <c r="M184" s="1">
        <v>3</v>
      </c>
      <c r="N184" s="38">
        <v>45690</v>
      </c>
      <c r="O184" s="44">
        <v>2136</v>
      </c>
      <c r="P184" s="44">
        <v>5341</v>
      </c>
      <c r="Q184" s="65">
        <v>0.92200000000000004</v>
      </c>
      <c r="R184" s="69">
        <v>1063.4000000000001</v>
      </c>
      <c r="S184" s="74">
        <v>1590</v>
      </c>
      <c r="T184" s="49">
        <v>600000</v>
      </c>
      <c r="U184" s="56">
        <v>4.62</v>
      </c>
      <c r="V184" s="56">
        <v>5.5</v>
      </c>
      <c r="W184" s="1">
        <v>3.4</v>
      </c>
      <c r="X184" s="28">
        <v>2.3109999999999999</v>
      </c>
      <c r="Y184" s="60">
        <v>13.9</v>
      </c>
      <c r="Z184" s="1">
        <v>75</v>
      </c>
      <c r="AA184" s="60">
        <v>1.1000000000000001</v>
      </c>
      <c r="AB184" s="1">
        <v>85</v>
      </c>
      <c r="AC184" s="1">
        <v>50</v>
      </c>
      <c r="AD184" s="1">
        <v>34</v>
      </c>
      <c r="AE184" s="36">
        <v>5</v>
      </c>
    </row>
    <row r="185" spans="1:31" ht="16" thickBot="1" x14ac:dyDescent="0.25">
      <c r="A185" s="1">
        <v>18</v>
      </c>
      <c r="B185" s="1" t="s">
        <v>70</v>
      </c>
      <c r="C185" s="29">
        <v>2.3929999999999998</v>
      </c>
      <c r="D185" s="2">
        <v>19</v>
      </c>
      <c r="E185" s="2">
        <v>2</v>
      </c>
      <c r="F185" s="2">
        <v>4</v>
      </c>
      <c r="G185" s="16">
        <v>2.7094999999999998</v>
      </c>
      <c r="H185" s="10">
        <v>1.5105</v>
      </c>
      <c r="I185" s="17">
        <v>2.7225000000000001</v>
      </c>
      <c r="J185" s="20">
        <f t="shared" si="5"/>
        <v>2.2355610561056101</v>
      </c>
      <c r="K185" s="20">
        <f t="shared" si="4"/>
        <v>6.5791451690091822</v>
      </c>
      <c r="L185" s="34"/>
      <c r="M185" s="2"/>
      <c r="N185" s="39"/>
      <c r="O185" s="46"/>
      <c r="P185" s="46"/>
      <c r="Q185" s="66"/>
      <c r="R185" s="70"/>
      <c r="S185" s="76"/>
      <c r="T185" s="50"/>
      <c r="U185" s="57">
        <v>4.62</v>
      </c>
      <c r="V185" s="57">
        <v>5.5</v>
      </c>
      <c r="W185" s="2">
        <v>3.4</v>
      </c>
      <c r="X185" s="29">
        <v>2.3109999999999999</v>
      </c>
      <c r="Y185" s="61">
        <v>13.9</v>
      </c>
      <c r="Z185" s="2">
        <v>75</v>
      </c>
      <c r="AA185" s="61">
        <v>1.1000000000000001</v>
      </c>
      <c r="AB185" s="2">
        <v>85</v>
      </c>
      <c r="AC185" s="2">
        <v>50</v>
      </c>
      <c r="AD185" s="2">
        <v>34</v>
      </c>
      <c r="AE185" s="4">
        <v>5</v>
      </c>
    </row>
    <row r="186" spans="1:31" x14ac:dyDescent="0.2">
      <c r="A186" s="1">
        <v>19</v>
      </c>
      <c r="B186" s="1" t="s">
        <v>71</v>
      </c>
      <c r="C186" s="28">
        <v>2.4159999999999999</v>
      </c>
      <c r="D186" s="1">
        <v>19</v>
      </c>
      <c r="E186" s="26">
        <v>1</v>
      </c>
      <c r="F186" s="26">
        <v>0</v>
      </c>
      <c r="G186" s="21">
        <v>24.044499999999999</v>
      </c>
      <c r="H186" s="22">
        <v>13.505000000000001</v>
      </c>
      <c r="I186" s="23">
        <v>24.296500000000002</v>
      </c>
      <c r="J186" s="24">
        <f t="shared" si="5"/>
        <v>2.2280961868136955</v>
      </c>
      <c r="K186" s="24">
        <f t="shared" si="4"/>
        <v>7.7774757113536648</v>
      </c>
      <c r="L186" s="33">
        <v>0</v>
      </c>
      <c r="Q186" s="65"/>
      <c r="R186" s="69"/>
      <c r="S186" s="74"/>
      <c r="T186" s="49"/>
      <c r="U186" s="56">
        <v>4.33</v>
      </c>
      <c r="V186" s="56">
        <v>5.39</v>
      </c>
      <c r="W186" s="1">
        <v>3.2</v>
      </c>
      <c r="X186" s="28">
        <v>2.339</v>
      </c>
      <c r="Y186" s="60">
        <v>13.1</v>
      </c>
      <c r="Z186" s="1">
        <v>76</v>
      </c>
      <c r="AA186" s="60">
        <v>1.3</v>
      </c>
      <c r="AB186" s="1">
        <v>83</v>
      </c>
      <c r="AC186" s="1">
        <v>53</v>
      </c>
      <c r="AD186" s="1">
        <v>37</v>
      </c>
      <c r="AE186" s="36">
        <v>5.8</v>
      </c>
    </row>
    <row r="187" spans="1:31" x14ac:dyDescent="0.2">
      <c r="A187" s="1">
        <v>19</v>
      </c>
      <c r="B187" s="1" t="s">
        <v>71</v>
      </c>
      <c r="C187" s="28">
        <v>2.4159999999999999</v>
      </c>
      <c r="D187" s="1">
        <v>19</v>
      </c>
      <c r="E187" s="1">
        <v>1</v>
      </c>
      <c r="F187" s="1">
        <v>1</v>
      </c>
      <c r="G187" s="11">
        <v>2.7440000000000002</v>
      </c>
      <c r="H187" s="12">
        <v>1.5449999999999999</v>
      </c>
      <c r="I187" s="13">
        <v>2.7559999999999998</v>
      </c>
      <c r="J187" s="18">
        <f t="shared" si="5"/>
        <v>2.2658959537572261</v>
      </c>
      <c r="K187" s="18">
        <f t="shared" si="4"/>
        <v>6.2129158213068632</v>
      </c>
      <c r="L187" s="33">
        <v>600</v>
      </c>
      <c r="M187" s="1">
        <v>1</v>
      </c>
      <c r="N187" s="38">
        <v>45699</v>
      </c>
      <c r="O187" s="44">
        <v>2691</v>
      </c>
      <c r="P187" s="44">
        <v>4485</v>
      </c>
      <c r="Q187" s="65">
        <v>1.9</v>
      </c>
      <c r="R187" s="69">
        <v>1335.8</v>
      </c>
      <c r="S187" s="74">
        <v>2371</v>
      </c>
      <c r="T187" s="49">
        <v>140400</v>
      </c>
      <c r="U187" s="56">
        <v>4.33</v>
      </c>
      <c r="V187" s="56">
        <v>5.39</v>
      </c>
      <c r="W187" s="1">
        <v>3.2</v>
      </c>
      <c r="X187" s="28">
        <v>2.339</v>
      </c>
      <c r="Y187" s="60">
        <v>13.1</v>
      </c>
      <c r="Z187" s="1">
        <v>76</v>
      </c>
      <c r="AA187" s="60">
        <v>1.3</v>
      </c>
      <c r="AB187" s="1">
        <v>83</v>
      </c>
      <c r="AC187" s="1">
        <v>53</v>
      </c>
      <c r="AD187" s="1">
        <v>37</v>
      </c>
      <c r="AE187" s="36">
        <v>5.8</v>
      </c>
    </row>
    <row r="188" spans="1:31" x14ac:dyDescent="0.2">
      <c r="A188" s="1">
        <v>19</v>
      </c>
      <c r="B188" s="1" t="s">
        <v>71</v>
      </c>
      <c r="C188" s="28">
        <v>2.4159999999999999</v>
      </c>
      <c r="D188" s="1">
        <v>19</v>
      </c>
      <c r="E188" s="1">
        <v>1</v>
      </c>
      <c r="F188" s="1">
        <v>2</v>
      </c>
      <c r="G188" s="11">
        <v>2.6419999999999999</v>
      </c>
      <c r="H188" s="12">
        <v>1.4864999999999999</v>
      </c>
      <c r="I188" s="13">
        <v>2.6515</v>
      </c>
      <c r="J188" s="18">
        <f t="shared" si="5"/>
        <v>2.267811158798283</v>
      </c>
      <c r="K188" s="18">
        <f t="shared" si="4"/>
        <v>6.1336440894750428</v>
      </c>
      <c r="L188" s="33">
        <v>600</v>
      </c>
      <c r="M188" s="1">
        <v>2</v>
      </c>
      <c r="N188" s="38">
        <v>45699</v>
      </c>
      <c r="O188" s="44">
        <v>2883</v>
      </c>
      <c r="P188" s="44">
        <v>4791</v>
      </c>
      <c r="Q188" s="65">
        <v>1.8129999999999999</v>
      </c>
      <c r="R188" s="69">
        <v>1419.4</v>
      </c>
      <c r="S188" s="74">
        <v>1431</v>
      </c>
      <c r="T188" s="49">
        <v>37500</v>
      </c>
      <c r="U188" s="56">
        <v>4.33</v>
      </c>
      <c r="V188" s="56">
        <v>5.39</v>
      </c>
      <c r="W188" s="1">
        <v>3.2</v>
      </c>
      <c r="X188" s="28">
        <v>2.339</v>
      </c>
      <c r="Y188" s="60">
        <v>13.1</v>
      </c>
      <c r="Z188" s="1">
        <v>76</v>
      </c>
      <c r="AA188" s="60">
        <v>1.3</v>
      </c>
      <c r="AB188" s="1">
        <v>83</v>
      </c>
      <c r="AC188" s="1">
        <v>53</v>
      </c>
      <c r="AD188" s="1">
        <v>37</v>
      </c>
      <c r="AE188" s="36">
        <v>5.8</v>
      </c>
    </row>
    <row r="189" spans="1:31" x14ac:dyDescent="0.2">
      <c r="A189" s="1">
        <v>19</v>
      </c>
      <c r="B189" s="1" t="s">
        <v>71</v>
      </c>
      <c r="C189" s="28">
        <v>2.4159999999999999</v>
      </c>
      <c r="D189" s="1">
        <v>19</v>
      </c>
      <c r="E189" s="1">
        <v>1</v>
      </c>
      <c r="F189" s="1">
        <v>3</v>
      </c>
      <c r="G189" s="11">
        <v>2.6375000000000002</v>
      </c>
      <c r="H189" s="12">
        <v>1.484</v>
      </c>
      <c r="I189" s="13">
        <v>2.6469999999999998</v>
      </c>
      <c r="J189" s="18">
        <f t="shared" si="5"/>
        <v>2.2678417884780746</v>
      </c>
      <c r="K189" s="18">
        <f t="shared" si="4"/>
        <v>6.1323763047154483</v>
      </c>
      <c r="L189" s="33">
        <v>400</v>
      </c>
      <c r="M189" s="1">
        <v>3</v>
      </c>
      <c r="N189" s="38">
        <v>45699</v>
      </c>
      <c r="O189" s="44">
        <v>2081</v>
      </c>
      <c r="P189" s="44">
        <v>5211</v>
      </c>
      <c r="Q189" s="65">
        <v>0.78900000000000003</v>
      </c>
      <c r="R189" s="69">
        <v>1044.9000000000001</v>
      </c>
      <c r="S189" s="74">
        <v>2882</v>
      </c>
      <c r="T189" s="49">
        <v>802960</v>
      </c>
      <c r="U189" s="56">
        <v>4.33</v>
      </c>
      <c r="V189" s="56">
        <v>5.39</v>
      </c>
      <c r="W189" s="1">
        <v>3.2</v>
      </c>
      <c r="X189" s="28">
        <v>2.339</v>
      </c>
      <c r="Y189" s="60">
        <v>13.1</v>
      </c>
      <c r="Z189" s="1">
        <v>76</v>
      </c>
      <c r="AA189" s="60">
        <v>1.3</v>
      </c>
      <c r="AB189" s="1">
        <v>83</v>
      </c>
      <c r="AC189" s="1">
        <v>53</v>
      </c>
      <c r="AD189" s="1">
        <v>37</v>
      </c>
      <c r="AE189" s="36">
        <v>5.8</v>
      </c>
    </row>
    <row r="190" spans="1:31" x14ac:dyDescent="0.2">
      <c r="A190" s="1">
        <v>19</v>
      </c>
      <c r="B190" s="1" t="s">
        <v>71</v>
      </c>
      <c r="C190" s="28">
        <v>2.4159999999999999</v>
      </c>
      <c r="D190" s="1">
        <v>19</v>
      </c>
      <c r="E190" s="5">
        <v>1</v>
      </c>
      <c r="F190" s="5">
        <v>4</v>
      </c>
      <c r="G190" s="14">
        <v>2.673</v>
      </c>
      <c r="H190" s="9">
        <v>1.5029999999999999</v>
      </c>
      <c r="I190" s="15">
        <v>2.6825000000000001</v>
      </c>
      <c r="J190" s="19">
        <f t="shared" si="5"/>
        <v>2.266214497668503</v>
      </c>
      <c r="K190" s="19">
        <f t="shared" si="4"/>
        <v>6.1997310567672548</v>
      </c>
      <c r="L190" s="41">
        <v>400</v>
      </c>
      <c r="M190" s="5">
        <v>4</v>
      </c>
      <c r="N190" s="42">
        <v>45700</v>
      </c>
      <c r="O190" s="47">
        <v>2394</v>
      </c>
      <c r="P190" s="47">
        <v>5999</v>
      </c>
      <c r="Q190" s="67">
        <v>0.78900000000000003</v>
      </c>
      <c r="R190" s="71">
        <v>1161.0999999999999</v>
      </c>
      <c r="S190" s="75">
        <v>1798</v>
      </c>
      <c r="T190" s="51">
        <v>650000</v>
      </c>
      <c r="U190" s="58">
        <v>4.33</v>
      </c>
      <c r="V190" s="58">
        <v>5.39</v>
      </c>
      <c r="W190" s="5">
        <v>3.2</v>
      </c>
      <c r="X190" s="53">
        <v>2.339</v>
      </c>
      <c r="Y190" s="62">
        <v>13.1</v>
      </c>
      <c r="Z190" s="5">
        <v>76</v>
      </c>
      <c r="AA190" s="62">
        <v>1.3</v>
      </c>
      <c r="AB190" s="5">
        <v>83</v>
      </c>
      <c r="AC190" s="5">
        <v>53</v>
      </c>
      <c r="AD190" s="5">
        <v>37</v>
      </c>
      <c r="AE190" s="43">
        <v>5.8</v>
      </c>
    </row>
    <row r="191" spans="1:31" x14ac:dyDescent="0.2">
      <c r="A191" s="1">
        <v>19</v>
      </c>
      <c r="B191" s="1" t="s">
        <v>72</v>
      </c>
      <c r="C191" s="28">
        <v>2.4159999999999999</v>
      </c>
      <c r="D191" s="1">
        <v>19</v>
      </c>
      <c r="E191" s="26">
        <v>2</v>
      </c>
      <c r="F191" s="26">
        <v>0</v>
      </c>
      <c r="G191" s="21">
        <v>24.047499999999999</v>
      </c>
      <c r="H191" s="22">
        <v>13.516999999999999</v>
      </c>
      <c r="I191" s="23">
        <v>24.317499999999999</v>
      </c>
      <c r="J191" s="24">
        <f t="shared" si="5"/>
        <v>2.2265172908661635</v>
      </c>
      <c r="K191" s="24">
        <f t="shared" si="4"/>
        <v>7.8428273648111109</v>
      </c>
      <c r="L191" s="33">
        <v>0</v>
      </c>
      <c r="Q191" s="65"/>
      <c r="R191" s="69"/>
      <c r="S191" s="74"/>
      <c r="T191" s="49"/>
      <c r="U191" s="56">
        <v>4.33</v>
      </c>
      <c r="V191" s="56">
        <v>5.39</v>
      </c>
      <c r="W191" s="1">
        <v>3.2</v>
      </c>
      <c r="X191" s="28">
        <v>2.339</v>
      </c>
      <c r="Y191" s="60">
        <v>13.1</v>
      </c>
      <c r="Z191" s="1">
        <v>76</v>
      </c>
      <c r="AA191" s="60">
        <v>1.3</v>
      </c>
      <c r="AB191" s="1">
        <v>83</v>
      </c>
      <c r="AC191" s="1">
        <v>53</v>
      </c>
      <c r="AD191" s="1">
        <v>37</v>
      </c>
      <c r="AE191" s="36">
        <v>5.8</v>
      </c>
    </row>
    <row r="192" spans="1:31" x14ac:dyDescent="0.2">
      <c r="A192" s="1">
        <v>19</v>
      </c>
      <c r="B192" s="1" t="s">
        <v>72</v>
      </c>
      <c r="C192" s="28">
        <v>2.4159999999999999</v>
      </c>
      <c r="D192" s="1">
        <v>19</v>
      </c>
      <c r="E192" s="1">
        <v>2</v>
      </c>
      <c r="F192" s="1">
        <v>1</v>
      </c>
      <c r="G192" s="11">
        <v>2.7814999999999999</v>
      </c>
      <c r="H192" s="12">
        <v>1.5725</v>
      </c>
      <c r="I192" s="13">
        <v>2.7995000000000001</v>
      </c>
      <c r="J192" s="18">
        <f t="shared" si="5"/>
        <v>2.2669111654441725</v>
      </c>
      <c r="K192" s="18">
        <f t="shared" si="4"/>
        <v>6.1708954700259717</v>
      </c>
      <c r="L192" s="33">
        <v>400</v>
      </c>
      <c r="M192" s="1">
        <v>1</v>
      </c>
      <c r="N192" s="38">
        <v>45703</v>
      </c>
      <c r="O192" s="44">
        <v>2519</v>
      </c>
      <c r="P192" s="44">
        <v>6308</v>
      </c>
      <c r="Q192" s="65">
        <v>0.72699999999999998</v>
      </c>
      <c r="R192" s="69">
        <v>1238.3</v>
      </c>
      <c r="S192" s="74">
        <v>1892</v>
      </c>
      <c r="T192" s="49">
        <v>600000</v>
      </c>
      <c r="U192" s="56">
        <v>4.33</v>
      </c>
      <c r="V192" s="56">
        <v>5.39</v>
      </c>
      <c r="W192" s="1">
        <v>3.2</v>
      </c>
      <c r="X192" s="28">
        <v>2.339</v>
      </c>
      <c r="Y192" s="60">
        <v>13.1</v>
      </c>
      <c r="Z192" s="1">
        <v>76</v>
      </c>
      <c r="AA192" s="60">
        <v>1.3</v>
      </c>
      <c r="AB192" s="1">
        <v>83</v>
      </c>
      <c r="AC192" s="1">
        <v>53</v>
      </c>
      <c r="AD192" s="1">
        <v>37</v>
      </c>
      <c r="AE192" s="36">
        <v>5.8</v>
      </c>
    </row>
    <row r="193" spans="1:31" x14ac:dyDescent="0.2">
      <c r="A193" s="1">
        <v>19</v>
      </c>
      <c r="B193" s="1" t="s">
        <v>72</v>
      </c>
      <c r="C193" s="28">
        <v>2.4159999999999999</v>
      </c>
      <c r="D193" s="1">
        <v>19</v>
      </c>
      <c r="E193" s="1">
        <v>2</v>
      </c>
      <c r="F193" s="1">
        <v>2</v>
      </c>
      <c r="G193" s="11">
        <v>2.6524999999999999</v>
      </c>
      <c r="H193" s="12">
        <v>1.4930000000000001</v>
      </c>
      <c r="I193" s="13">
        <v>2.669</v>
      </c>
      <c r="J193" s="18">
        <f t="shared" si="5"/>
        <v>2.2555272108843538</v>
      </c>
      <c r="K193" s="18">
        <f t="shared" si="4"/>
        <v>6.6420856422038987</v>
      </c>
      <c r="L193" s="33">
        <v>600</v>
      </c>
      <c r="M193" s="1">
        <v>2</v>
      </c>
      <c r="N193" s="38">
        <v>45704</v>
      </c>
      <c r="O193" s="44">
        <v>3523</v>
      </c>
      <c r="P193" s="44">
        <v>5883</v>
      </c>
      <c r="Q193" s="65">
        <v>2.036</v>
      </c>
      <c r="R193" s="69">
        <v>1747.1</v>
      </c>
      <c r="S193" s="74">
        <v>1765</v>
      </c>
      <c r="T193" s="49">
        <v>85000</v>
      </c>
      <c r="U193" s="56">
        <v>4.33</v>
      </c>
      <c r="V193" s="56">
        <v>5.39</v>
      </c>
      <c r="W193" s="1">
        <v>3.2</v>
      </c>
      <c r="X193" s="28">
        <v>2.339</v>
      </c>
      <c r="Y193" s="60">
        <v>13.1</v>
      </c>
      <c r="Z193" s="1">
        <v>76</v>
      </c>
      <c r="AA193" s="60">
        <v>1.3</v>
      </c>
      <c r="AB193" s="1">
        <v>83</v>
      </c>
      <c r="AC193" s="1">
        <v>53</v>
      </c>
      <c r="AD193" s="1">
        <v>37</v>
      </c>
      <c r="AE193" s="36">
        <v>5.8</v>
      </c>
    </row>
    <row r="194" spans="1:31" x14ac:dyDescent="0.2">
      <c r="A194" s="1">
        <v>19</v>
      </c>
      <c r="B194" s="1" t="s">
        <v>72</v>
      </c>
      <c r="C194" s="28">
        <v>2.4159999999999999</v>
      </c>
      <c r="D194" s="1">
        <v>19</v>
      </c>
      <c r="E194" s="1">
        <v>2</v>
      </c>
      <c r="F194" s="1">
        <v>3</v>
      </c>
      <c r="G194" s="11">
        <v>2.7025000000000001</v>
      </c>
      <c r="H194" s="12">
        <v>1.5225</v>
      </c>
      <c r="I194" s="13">
        <v>2.7185000000000001</v>
      </c>
      <c r="J194" s="18">
        <f t="shared" si="5"/>
        <v>2.2596153846153846</v>
      </c>
      <c r="K194" s="18">
        <f t="shared" si="4"/>
        <v>6.4728731533367334</v>
      </c>
      <c r="L194" s="33"/>
      <c r="Q194" s="65"/>
      <c r="R194" s="69"/>
      <c r="S194" s="74"/>
      <c r="T194" s="49"/>
      <c r="U194" s="56">
        <v>4.33</v>
      </c>
      <c r="V194" s="56">
        <v>5.39</v>
      </c>
      <c r="W194" s="1">
        <v>3.2</v>
      </c>
      <c r="X194" s="28">
        <v>2.339</v>
      </c>
      <c r="Y194" s="60">
        <v>13.1</v>
      </c>
      <c r="Z194" s="1">
        <v>76</v>
      </c>
      <c r="AA194" s="60">
        <v>1.3</v>
      </c>
      <c r="AB194" s="1">
        <v>83</v>
      </c>
      <c r="AC194" s="1">
        <v>53</v>
      </c>
      <c r="AD194" s="1">
        <v>37</v>
      </c>
      <c r="AE194" s="36">
        <v>5.8</v>
      </c>
    </row>
    <row r="195" spans="1:31" ht="16" thickBot="1" x14ac:dyDescent="0.25">
      <c r="A195" s="1">
        <v>19</v>
      </c>
      <c r="B195" s="1" t="s">
        <v>72</v>
      </c>
      <c r="C195" s="29">
        <v>2.4159999999999999</v>
      </c>
      <c r="D195" s="2">
        <v>19</v>
      </c>
      <c r="E195" s="2">
        <v>2</v>
      </c>
      <c r="F195" s="2">
        <v>4</v>
      </c>
      <c r="G195" s="16">
        <v>2.61</v>
      </c>
      <c r="H195" s="10">
        <v>1.4615</v>
      </c>
      <c r="I195" s="17">
        <v>2.6190000000000002</v>
      </c>
      <c r="J195" s="20">
        <f t="shared" si="5"/>
        <v>2.254859611231101</v>
      </c>
      <c r="K195" s="20">
        <f t="shared" si="4"/>
        <v>6.6697180781829069</v>
      </c>
      <c r="L195" s="34"/>
      <c r="M195" s="2"/>
      <c r="N195" s="39"/>
      <c r="O195" s="46"/>
      <c r="P195" s="46"/>
      <c r="Q195" s="66"/>
      <c r="R195" s="70"/>
      <c r="S195" s="76"/>
      <c r="T195" s="50"/>
      <c r="U195" s="57">
        <v>4.33</v>
      </c>
      <c r="V195" s="57">
        <v>5.39</v>
      </c>
      <c r="W195" s="2">
        <v>3.2</v>
      </c>
      <c r="X195" s="29">
        <v>2.339</v>
      </c>
      <c r="Y195" s="61">
        <v>13.1</v>
      </c>
      <c r="Z195" s="2">
        <v>76</v>
      </c>
      <c r="AA195" s="61">
        <v>1.3</v>
      </c>
      <c r="AB195" s="2">
        <v>83</v>
      </c>
      <c r="AC195" s="2">
        <v>53</v>
      </c>
      <c r="AD195" s="2">
        <v>37</v>
      </c>
      <c r="AE195" s="4">
        <v>5.8</v>
      </c>
    </row>
    <row r="196" spans="1:31" x14ac:dyDescent="0.2">
      <c r="A196" s="1">
        <v>20</v>
      </c>
      <c r="B196" s="1" t="s">
        <v>73</v>
      </c>
      <c r="C196" s="28">
        <v>2.37</v>
      </c>
      <c r="D196" s="1">
        <v>19</v>
      </c>
      <c r="E196" s="26">
        <v>1</v>
      </c>
      <c r="F196" s="26">
        <v>0</v>
      </c>
      <c r="G196" s="21">
        <v>24.115500000000001</v>
      </c>
      <c r="H196" s="22">
        <v>13.366</v>
      </c>
      <c r="I196" s="23">
        <v>24.421500000000002</v>
      </c>
      <c r="J196" s="24">
        <f t="shared" si="5"/>
        <v>2.1813124689068788</v>
      </c>
      <c r="K196" s="24">
        <f t="shared" si="4"/>
        <v>7.9614992022414066</v>
      </c>
      <c r="L196" s="33">
        <v>0</v>
      </c>
      <c r="Q196" s="65"/>
      <c r="R196" s="69"/>
      <c r="S196" s="74"/>
      <c r="T196" s="49"/>
      <c r="U196" s="56">
        <v>5.09</v>
      </c>
      <c r="V196" s="56">
        <v>5.83</v>
      </c>
      <c r="W196" s="1">
        <v>3.8</v>
      </c>
      <c r="X196" s="28">
        <v>2.2799999999999998</v>
      </c>
      <c r="Y196" s="60">
        <v>15.1</v>
      </c>
      <c r="Z196" s="1">
        <v>75</v>
      </c>
      <c r="AA196" s="60">
        <v>1</v>
      </c>
      <c r="AB196" s="1">
        <v>84</v>
      </c>
      <c r="AC196" s="1">
        <v>52</v>
      </c>
      <c r="AD196" s="1">
        <v>33</v>
      </c>
      <c r="AE196" s="36">
        <v>5.0999999999999996</v>
      </c>
    </row>
    <row r="197" spans="1:31" x14ac:dyDescent="0.2">
      <c r="A197" s="1">
        <v>20</v>
      </c>
      <c r="B197" s="1" t="s">
        <v>73</v>
      </c>
      <c r="C197" s="28">
        <v>2.37</v>
      </c>
      <c r="D197" s="1">
        <v>19</v>
      </c>
      <c r="E197" s="1">
        <v>1</v>
      </c>
      <c r="F197" s="1">
        <v>1</v>
      </c>
      <c r="G197" s="11">
        <v>2.5920000000000001</v>
      </c>
      <c r="H197" s="12">
        <v>1.427</v>
      </c>
      <c r="I197" s="13">
        <v>2.6004999999999998</v>
      </c>
      <c r="J197" s="18">
        <f t="shared" si="5"/>
        <v>2.2087771623348962</v>
      </c>
      <c r="K197" s="18">
        <f t="shared" si="4"/>
        <v>6.8026513782744269</v>
      </c>
      <c r="L197" s="33">
        <v>600</v>
      </c>
      <c r="M197" s="1">
        <v>1</v>
      </c>
      <c r="N197" s="38">
        <v>45708</v>
      </c>
      <c r="O197" s="44">
        <v>1893</v>
      </c>
      <c r="P197" s="44">
        <v>3164</v>
      </c>
      <c r="Q197" s="65">
        <v>1.508</v>
      </c>
      <c r="R197" s="69">
        <v>862.7</v>
      </c>
      <c r="S197" s="74">
        <v>936</v>
      </c>
      <c r="T197" s="49">
        <v>130000</v>
      </c>
      <c r="U197" s="56">
        <v>5.09</v>
      </c>
      <c r="V197" s="56">
        <v>5.83</v>
      </c>
      <c r="W197" s="1">
        <v>3.8</v>
      </c>
      <c r="X197" s="28">
        <v>2.2799999999999998</v>
      </c>
      <c r="Y197" s="60">
        <v>15.1</v>
      </c>
      <c r="Z197" s="1">
        <v>75</v>
      </c>
      <c r="AA197" s="60">
        <v>1</v>
      </c>
      <c r="AB197" s="1">
        <v>84</v>
      </c>
      <c r="AC197" s="1">
        <v>52</v>
      </c>
      <c r="AD197" s="1">
        <v>33</v>
      </c>
      <c r="AE197" s="36">
        <v>5.0999999999999996</v>
      </c>
    </row>
    <row r="198" spans="1:31" x14ac:dyDescent="0.2">
      <c r="A198" s="1">
        <v>20</v>
      </c>
      <c r="B198" s="1" t="s">
        <v>73</v>
      </c>
      <c r="C198" s="28">
        <v>2.37</v>
      </c>
      <c r="D198" s="1">
        <v>19</v>
      </c>
      <c r="E198" s="1">
        <v>1</v>
      </c>
      <c r="F198" s="1">
        <v>2</v>
      </c>
      <c r="G198" s="11">
        <v>2.5459999999999998</v>
      </c>
      <c r="H198" s="12">
        <v>1.3939999999999999</v>
      </c>
      <c r="I198" s="13">
        <v>2.5529999999999999</v>
      </c>
      <c r="J198" s="18">
        <f t="shared" si="5"/>
        <v>2.1967213114754096</v>
      </c>
      <c r="K198" s="18">
        <f t="shared" ref="K198:K245" si="6">+IF(G198=0,"",(1-(J198/C198))*100)</f>
        <v>7.3113370685481183</v>
      </c>
      <c r="L198" s="33">
        <v>400</v>
      </c>
      <c r="M198" s="1">
        <v>2</v>
      </c>
      <c r="N198" s="38">
        <v>45708</v>
      </c>
      <c r="O198" s="44">
        <v>2052</v>
      </c>
      <c r="P198" s="44">
        <v>5156</v>
      </c>
      <c r="Q198" s="65">
        <v>0.78900000000000003</v>
      </c>
      <c r="R198" s="69">
        <v>899.4</v>
      </c>
      <c r="S198" s="74">
        <v>3082</v>
      </c>
      <c r="T198" s="49">
        <v>585690</v>
      </c>
      <c r="U198" s="56">
        <v>5.09</v>
      </c>
      <c r="V198" s="56">
        <v>5.83</v>
      </c>
      <c r="W198" s="1">
        <v>3.8</v>
      </c>
      <c r="X198" s="28">
        <v>2.2799999999999998</v>
      </c>
      <c r="Y198" s="60">
        <v>15.1</v>
      </c>
      <c r="Z198" s="1">
        <v>75</v>
      </c>
      <c r="AA198" s="60">
        <v>1</v>
      </c>
      <c r="AB198" s="1">
        <v>84</v>
      </c>
      <c r="AC198" s="1">
        <v>52</v>
      </c>
      <c r="AD198" s="1">
        <v>33</v>
      </c>
      <c r="AE198" s="36">
        <v>5.0999999999999996</v>
      </c>
    </row>
    <row r="199" spans="1:31" x14ac:dyDescent="0.2">
      <c r="A199" s="1">
        <v>20</v>
      </c>
      <c r="B199" s="1" t="s">
        <v>73</v>
      </c>
      <c r="C199" s="28">
        <v>2.37</v>
      </c>
      <c r="D199" s="1">
        <v>19</v>
      </c>
      <c r="E199" s="1">
        <v>1</v>
      </c>
      <c r="F199" s="1">
        <v>3</v>
      </c>
      <c r="G199" s="11">
        <v>2.5979999999999999</v>
      </c>
      <c r="H199" s="12">
        <v>1.4259999999999999</v>
      </c>
      <c r="I199" s="13">
        <v>2.6084999999999998</v>
      </c>
      <c r="J199" s="18">
        <f t="shared" si="5"/>
        <v>2.1970401691331927</v>
      </c>
      <c r="K199" s="18">
        <f t="shared" si="6"/>
        <v>7.2978831589370241</v>
      </c>
      <c r="L199" s="33">
        <v>600</v>
      </c>
      <c r="M199" s="1">
        <v>3</v>
      </c>
      <c r="N199" s="38">
        <v>45709</v>
      </c>
      <c r="O199" s="44">
        <v>2654</v>
      </c>
      <c r="P199" s="44">
        <v>4418</v>
      </c>
      <c r="Q199" s="65">
        <v>1.7190000000000001</v>
      </c>
      <c r="R199" s="69">
        <v>1222.3</v>
      </c>
      <c r="S199" s="74">
        <v>2143</v>
      </c>
      <c r="T199" s="49">
        <v>50260</v>
      </c>
      <c r="U199" s="56">
        <v>5.09</v>
      </c>
      <c r="V199" s="56">
        <v>5.83</v>
      </c>
      <c r="W199" s="1">
        <v>3.8</v>
      </c>
      <c r="X199" s="28">
        <v>2.2799999999999998</v>
      </c>
      <c r="Y199" s="60">
        <v>15.1</v>
      </c>
      <c r="Z199" s="1">
        <v>75</v>
      </c>
      <c r="AA199" s="60">
        <v>1</v>
      </c>
      <c r="AB199" s="1">
        <v>84</v>
      </c>
      <c r="AC199" s="1">
        <v>52</v>
      </c>
      <c r="AD199" s="1">
        <v>33</v>
      </c>
      <c r="AE199" s="36">
        <v>5.0999999999999996</v>
      </c>
    </row>
    <row r="200" spans="1:31" x14ac:dyDescent="0.2">
      <c r="A200" s="1">
        <v>20</v>
      </c>
      <c r="B200" s="1" t="s">
        <v>73</v>
      </c>
      <c r="C200" s="28">
        <v>2.37</v>
      </c>
      <c r="D200" s="1">
        <v>19</v>
      </c>
      <c r="E200" s="5">
        <v>1</v>
      </c>
      <c r="F200" s="5">
        <v>4</v>
      </c>
      <c r="G200" s="14">
        <v>2.5880000000000001</v>
      </c>
      <c r="H200" s="9">
        <v>1.419</v>
      </c>
      <c r="I200" s="15">
        <v>2.597</v>
      </c>
      <c r="J200" s="19">
        <f t="shared" si="5"/>
        <v>2.1969439728353142</v>
      </c>
      <c r="K200" s="19">
        <f t="shared" si="6"/>
        <v>7.3019420744593226</v>
      </c>
      <c r="L200" s="41">
        <v>600</v>
      </c>
      <c r="M200" s="5">
        <v>4</v>
      </c>
      <c r="N200" s="42">
        <v>45709</v>
      </c>
      <c r="O200" s="47">
        <v>2672</v>
      </c>
      <c r="P200" s="47">
        <v>4456</v>
      </c>
      <c r="Q200" s="67">
        <v>1.736</v>
      </c>
      <c r="R200" s="71">
        <v>1207.4000000000001</v>
      </c>
      <c r="S200" s="75">
        <v>2431</v>
      </c>
      <c r="T200" s="51">
        <v>55050</v>
      </c>
      <c r="U200" s="58">
        <v>5.09</v>
      </c>
      <c r="V200" s="58">
        <v>5.83</v>
      </c>
      <c r="W200" s="5">
        <v>3.8</v>
      </c>
      <c r="X200" s="53">
        <v>2.2799999999999998</v>
      </c>
      <c r="Y200" s="62">
        <v>15.1</v>
      </c>
      <c r="Z200" s="5">
        <v>75</v>
      </c>
      <c r="AA200" s="62">
        <v>1</v>
      </c>
      <c r="AB200" s="5">
        <v>84</v>
      </c>
      <c r="AC200" s="5">
        <v>52</v>
      </c>
      <c r="AD200" s="5">
        <v>33</v>
      </c>
      <c r="AE200" s="43">
        <v>5.0999999999999996</v>
      </c>
    </row>
    <row r="201" spans="1:31" x14ac:dyDescent="0.2">
      <c r="A201" s="1">
        <v>20</v>
      </c>
      <c r="B201" s="1" t="s">
        <v>74</v>
      </c>
      <c r="C201" s="28">
        <v>2.37</v>
      </c>
      <c r="D201" s="1">
        <v>19</v>
      </c>
      <c r="E201" s="26">
        <v>2</v>
      </c>
      <c r="F201" s="26">
        <v>0</v>
      </c>
      <c r="G201" s="21">
        <v>24.082000000000001</v>
      </c>
      <c r="H201" s="22">
        <v>13.391999999999999</v>
      </c>
      <c r="I201" s="23">
        <v>24.4255</v>
      </c>
      <c r="J201" s="24">
        <f t="shared" si="5"/>
        <v>2.1826256400960711</v>
      </c>
      <c r="K201" s="24">
        <f t="shared" si="6"/>
        <v>7.9060911351868768</v>
      </c>
      <c r="L201" s="33">
        <v>0</v>
      </c>
      <c r="Q201" s="65"/>
      <c r="R201" s="69"/>
      <c r="S201" s="74"/>
      <c r="T201" s="49"/>
      <c r="U201" s="56">
        <v>5.09</v>
      </c>
      <c r="V201" s="56">
        <v>5.83</v>
      </c>
      <c r="W201" s="1">
        <v>3.8</v>
      </c>
      <c r="X201" s="28">
        <v>2.2799999999999998</v>
      </c>
      <c r="Y201" s="60">
        <v>15.1</v>
      </c>
      <c r="Z201" s="1">
        <v>75</v>
      </c>
      <c r="AA201" s="60">
        <v>1</v>
      </c>
      <c r="AB201" s="1">
        <v>84</v>
      </c>
      <c r="AC201" s="1">
        <v>52</v>
      </c>
      <c r="AD201" s="1">
        <v>33</v>
      </c>
      <c r="AE201" s="36">
        <v>5.0999999999999996</v>
      </c>
    </row>
    <row r="202" spans="1:31" x14ac:dyDescent="0.2">
      <c r="A202" s="1">
        <v>20</v>
      </c>
      <c r="B202" s="1" t="s">
        <v>74</v>
      </c>
      <c r="C202" s="28">
        <v>2.37</v>
      </c>
      <c r="D202" s="1">
        <v>19</v>
      </c>
      <c r="E202" s="1">
        <v>2</v>
      </c>
      <c r="F202" s="1">
        <v>1</v>
      </c>
      <c r="G202" s="11">
        <v>2.5514999999999999</v>
      </c>
      <c r="H202" s="12">
        <v>1.4015</v>
      </c>
      <c r="I202" s="13">
        <v>2.5594999999999999</v>
      </c>
      <c r="J202" s="18">
        <f t="shared" ref="J202:J245" si="7">+IF(G202=0,"",G202/(I202-H202))</f>
        <v>2.2033678756476682</v>
      </c>
      <c r="K202" s="18">
        <f t="shared" si="6"/>
        <v>7.0308913228832033</v>
      </c>
      <c r="L202" s="33">
        <v>400</v>
      </c>
      <c r="M202" s="1">
        <v>1</v>
      </c>
      <c r="N202" s="38">
        <v>45713</v>
      </c>
      <c r="O202" s="44">
        <v>2318</v>
      </c>
      <c r="P202" s="44">
        <v>5805</v>
      </c>
      <c r="Q202" s="65">
        <v>0.93300000000000005</v>
      </c>
      <c r="R202" s="69">
        <v>1008.9</v>
      </c>
      <c r="S202" s="74">
        <v>1739</v>
      </c>
      <c r="T202" s="49">
        <v>375000</v>
      </c>
      <c r="U202" s="56">
        <v>5.09</v>
      </c>
      <c r="V202" s="56">
        <v>5.83</v>
      </c>
      <c r="W202" s="1">
        <v>3.8</v>
      </c>
      <c r="X202" s="28">
        <v>2.2799999999999998</v>
      </c>
      <c r="Y202" s="60">
        <v>15.1</v>
      </c>
      <c r="Z202" s="1">
        <v>75</v>
      </c>
      <c r="AA202" s="60">
        <v>1</v>
      </c>
      <c r="AB202" s="1">
        <v>84</v>
      </c>
      <c r="AC202" s="1">
        <v>52</v>
      </c>
      <c r="AD202" s="1">
        <v>33</v>
      </c>
      <c r="AE202" s="36">
        <v>5.0999999999999996</v>
      </c>
    </row>
    <row r="203" spans="1:31" x14ac:dyDescent="0.2">
      <c r="A203" s="1">
        <v>20</v>
      </c>
      <c r="B203" s="1" t="s">
        <v>74</v>
      </c>
      <c r="C203" s="28">
        <v>2.37</v>
      </c>
      <c r="D203" s="1">
        <v>19</v>
      </c>
      <c r="E203" s="1">
        <v>2</v>
      </c>
      <c r="F203" s="1">
        <v>2</v>
      </c>
      <c r="G203" s="11">
        <v>2.6515</v>
      </c>
      <c r="H203" s="12">
        <v>1.4544999999999999</v>
      </c>
      <c r="I203" s="13">
        <v>2.66</v>
      </c>
      <c r="J203" s="18">
        <f t="shared" si="7"/>
        <v>2.1995022812111151</v>
      </c>
      <c r="K203" s="18">
        <f t="shared" si="6"/>
        <v>7.1939965733706757</v>
      </c>
      <c r="L203" s="33">
        <v>400</v>
      </c>
      <c r="M203" s="1">
        <v>2</v>
      </c>
      <c r="N203" s="38">
        <v>45714</v>
      </c>
      <c r="O203" s="44">
        <v>1701</v>
      </c>
      <c r="P203" s="44">
        <v>4258</v>
      </c>
      <c r="Q203" s="65">
        <v>0.66100000000000003</v>
      </c>
      <c r="R203" s="69">
        <v>851</v>
      </c>
      <c r="S203" s="74">
        <v>2073</v>
      </c>
      <c r="T203" s="49">
        <v>842430</v>
      </c>
      <c r="U203" s="56">
        <v>5.09</v>
      </c>
      <c r="V203" s="56">
        <v>5.83</v>
      </c>
      <c r="W203" s="1">
        <v>3.8</v>
      </c>
      <c r="X203" s="28">
        <v>2.2799999999999998</v>
      </c>
      <c r="Y203" s="60">
        <v>15.1</v>
      </c>
      <c r="Z203" s="1">
        <v>75</v>
      </c>
      <c r="AA203" s="60">
        <v>1</v>
      </c>
      <c r="AB203" s="1">
        <v>84</v>
      </c>
      <c r="AC203" s="1">
        <v>52</v>
      </c>
      <c r="AD203" s="1">
        <v>33</v>
      </c>
      <c r="AE203" s="36">
        <v>5.0999999999999996</v>
      </c>
    </row>
    <row r="204" spans="1:31" x14ac:dyDescent="0.2">
      <c r="A204" s="1">
        <v>20</v>
      </c>
      <c r="B204" s="1" t="s">
        <v>74</v>
      </c>
      <c r="C204" s="28">
        <v>2.37</v>
      </c>
      <c r="D204" s="1">
        <v>19</v>
      </c>
      <c r="E204" s="1">
        <v>2</v>
      </c>
      <c r="F204" s="1">
        <v>3</v>
      </c>
      <c r="G204" s="11">
        <v>2.5939999999999999</v>
      </c>
      <c r="H204" s="12">
        <v>1.427</v>
      </c>
      <c r="I204" s="13">
        <v>2.6015000000000001</v>
      </c>
      <c r="J204" s="18">
        <f t="shared" si="7"/>
        <v>2.2085994040017027</v>
      </c>
      <c r="K204" s="18">
        <f t="shared" si="6"/>
        <v>6.8101517298859608</v>
      </c>
      <c r="L204" s="33"/>
      <c r="Q204" s="65"/>
      <c r="R204" s="69"/>
      <c r="S204" s="74"/>
      <c r="T204" s="49"/>
      <c r="U204" s="56">
        <v>5.09</v>
      </c>
      <c r="V204" s="56">
        <v>5.83</v>
      </c>
      <c r="W204" s="1">
        <v>3.8</v>
      </c>
      <c r="X204" s="28">
        <v>2.2799999999999998</v>
      </c>
      <c r="Y204" s="60">
        <v>15.1</v>
      </c>
      <c r="Z204" s="1">
        <v>75</v>
      </c>
      <c r="AA204" s="60">
        <v>1</v>
      </c>
      <c r="AB204" s="1">
        <v>84</v>
      </c>
      <c r="AC204" s="1">
        <v>52</v>
      </c>
      <c r="AD204" s="1">
        <v>33</v>
      </c>
      <c r="AE204" s="36">
        <v>5.0999999999999996</v>
      </c>
    </row>
    <row r="205" spans="1:31" ht="16" thickBot="1" x14ac:dyDescent="0.25">
      <c r="A205" s="1">
        <v>20</v>
      </c>
      <c r="B205" s="1" t="s">
        <v>74</v>
      </c>
      <c r="C205" s="29">
        <v>2.37</v>
      </c>
      <c r="D205" s="2">
        <v>19</v>
      </c>
      <c r="E205" s="2">
        <v>2</v>
      </c>
      <c r="F205" s="2">
        <v>4</v>
      </c>
      <c r="G205" s="16">
        <v>2.59</v>
      </c>
      <c r="H205" s="10">
        <v>1.4265000000000001</v>
      </c>
      <c r="I205" s="17">
        <v>2.6</v>
      </c>
      <c r="J205" s="20">
        <f t="shared" si="7"/>
        <v>2.2070728589688962</v>
      </c>
      <c r="K205" s="20">
        <f t="shared" si="6"/>
        <v>6.8745629127048069</v>
      </c>
      <c r="L205" s="34"/>
      <c r="M205" s="2"/>
      <c r="N205" s="39"/>
      <c r="O205" s="46"/>
      <c r="P205" s="46"/>
      <c r="Q205" s="66"/>
      <c r="R205" s="70"/>
      <c r="S205" s="76"/>
      <c r="T205" s="50"/>
      <c r="U205" s="57">
        <v>5.09</v>
      </c>
      <c r="V205" s="57">
        <v>5.83</v>
      </c>
      <c r="W205" s="2">
        <v>3.8</v>
      </c>
      <c r="X205" s="29">
        <v>2.2799999999999998</v>
      </c>
      <c r="Y205" s="61">
        <v>15.1</v>
      </c>
      <c r="Z205" s="2">
        <v>75</v>
      </c>
      <c r="AA205" s="61">
        <v>1</v>
      </c>
      <c r="AB205" s="2">
        <v>84</v>
      </c>
      <c r="AC205" s="2">
        <v>52</v>
      </c>
      <c r="AD205" s="2">
        <v>33</v>
      </c>
      <c r="AE205" s="4">
        <v>5.0999999999999996</v>
      </c>
    </row>
    <row r="206" spans="1:31" x14ac:dyDescent="0.2">
      <c r="A206" s="1">
        <v>21</v>
      </c>
      <c r="B206" s="1" t="s">
        <v>75</v>
      </c>
      <c r="C206" s="28">
        <v>2.4060000000000001</v>
      </c>
      <c r="D206" s="1">
        <v>19</v>
      </c>
      <c r="E206" s="26">
        <v>1</v>
      </c>
      <c r="F206" s="26">
        <v>0</v>
      </c>
      <c r="G206" s="21">
        <v>24.094999999999999</v>
      </c>
      <c r="H206" s="22">
        <v>13.4465</v>
      </c>
      <c r="I206" s="23">
        <v>24.317</v>
      </c>
      <c r="J206" s="24">
        <f t="shared" si="7"/>
        <v>2.2165493767535991</v>
      </c>
      <c r="K206" s="24">
        <f t="shared" si="6"/>
        <v>7.8740907417456762</v>
      </c>
      <c r="L206" s="33">
        <v>0</v>
      </c>
      <c r="Q206" s="65"/>
      <c r="R206" s="69"/>
      <c r="S206" s="74"/>
      <c r="T206" s="49"/>
      <c r="U206" s="56">
        <v>4.71</v>
      </c>
      <c r="V206" s="56">
        <v>5.55</v>
      </c>
      <c r="W206" s="1">
        <v>3.4</v>
      </c>
      <c r="X206" s="28">
        <v>2.3239999999999998</v>
      </c>
      <c r="Y206" s="60">
        <v>14.1</v>
      </c>
      <c r="Z206" s="1">
        <v>76</v>
      </c>
      <c r="AA206" s="60">
        <v>1.1000000000000001</v>
      </c>
      <c r="AB206" s="1">
        <v>85</v>
      </c>
      <c r="AC206" s="1">
        <v>52</v>
      </c>
      <c r="AD206" s="1">
        <v>35</v>
      </c>
      <c r="AE206" s="36">
        <v>5.3</v>
      </c>
    </row>
    <row r="207" spans="1:31" x14ac:dyDescent="0.2">
      <c r="A207" s="1">
        <v>21</v>
      </c>
      <c r="B207" s="1" t="s">
        <v>75</v>
      </c>
      <c r="C207" s="28">
        <v>2.4060000000000001</v>
      </c>
      <c r="D207" s="1">
        <v>19</v>
      </c>
      <c r="E207" s="1">
        <v>1</v>
      </c>
      <c r="F207" s="1">
        <v>1</v>
      </c>
      <c r="G207" s="11">
        <v>2.7565</v>
      </c>
      <c r="H207" s="12">
        <v>1.5349999999999999</v>
      </c>
      <c r="I207" s="13">
        <v>2.762</v>
      </c>
      <c r="J207" s="18">
        <f t="shared" si="7"/>
        <v>2.2465362673186631</v>
      </c>
      <c r="K207" s="18">
        <f t="shared" si="6"/>
        <v>6.6277528130231573</v>
      </c>
      <c r="L207" s="33">
        <v>600</v>
      </c>
      <c r="M207" s="1">
        <v>1</v>
      </c>
      <c r="N207" s="38">
        <v>45720</v>
      </c>
      <c r="O207" s="44">
        <v>2606</v>
      </c>
      <c r="P207" s="44">
        <v>4379</v>
      </c>
      <c r="Q207" s="65">
        <v>1.722</v>
      </c>
      <c r="R207" s="69">
        <v>1261.0999999999999</v>
      </c>
      <c r="S207" s="74">
        <v>1864</v>
      </c>
      <c r="T207" s="49">
        <v>159520</v>
      </c>
      <c r="U207" s="56">
        <v>4.71</v>
      </c>
      <c r="V207" s="56">
        <v>5.55</v>
      </c>
      <c r="W207" s="1">
        <v>3.4</v>
      </c>
      <c r="X207" s="28">
        <v>2.3239999999999998</v>
      </c>
      <c r="Y207" s="60">
        <v>14.1</v>
      </c>
      <c r="Z207" s="1">
        <v>76</v>
      </c>
      <c r="AA207" s="60">
        <v>1.1000000000000001</v>
      </c>
      <c r="AB207" s="1">
        <v>85</v>
      </c>
      <c r="AC207" s="1">
        <v>52</v>
      </c>
      <c r="AD207" s="1">
        <v>35</v>
      </c>
      <c r="AE207" s="36">
        <v>5.3</v>
      </c>
    </row>
    <row r="208" spans="1:31" x14ac:dyDescent="0.2">
      <c r="A208" s="1">
        <v>21</v>
      </c>
      <c r="B208" s="1" t="s">
        <v>75</v>
      </c>
      <c r="C208" s="28">
        <v>2.4060000000000001</v>
      </c>
      <c r="D208" s="1">
        <v>19</v>
      </c>
      <c r="E208" s="1">
        <v>1</v>
      </c>
      <c r="F208" s="1">
        <v>2</v>
      </c>
      <c r="G208" s="11">
        <v>2.6659999999999999</v>
      </c>
      <c r="H208" s="12">
        <v>1.4870000000000001</v>
      </c>
      <c r="I208" s="13">
        <v>2.6680000000000001</v>
      </c>
      <c r="J208" s="18">
        <f t="shared" si="7"/>
        <v>2.2574089754445383</v>
      </c>
      <c r="K208" s="18">
        <f t="shared" si="6"/>
        <v>6.1758530571679904</v>
      </c>
      <c r="L208" s="33">
        <v>600</v>
      </c>
      <c r="M208" s="1">
        <v>2</v>
      </c>
      <c r="N208" s="38">
        <v>45720</v>
      </c>
      <c r="O208" s="44">
        <v>2245</v>
      </c>
      <c r="P208" s="44">
        <v>3774</v>
      </c>
      <c r="Q208" s="65">
        <v>1.4990000000000001</v>
      </c>
      <c r="R208" s="69">
        <v>1149</v>
      </c>
      <c r="S208" s="74">
        <v>1962</v>
      </c>
      <c r="T208" s="49">
        <v>71590</v>
      </c>
      <c r="U208" s="56">
        <v>4.71</v>
      </c>
      <c r="V208" s="56">
        <v>5.55</v>
      </c>
      <c r="W208" s="1">
        <v>3.4</v>
      </c>
      <c r="X208" s="28">
        <v>2.3239999999999998</v>
      </c>
      <c r="Y208" s="60">
        <v>14.1</v>
      </c>
      <c r="Z208" s="1">
        <v>76</v>
      </c>
      <c r="AA208" s="60">
        <v>1.1000000000000001</v>
      </c>
      <c r="AB208" s="1">
        <v>85</v>
      </c>
      <c r="AC208" s="1">
        <v>52</v>
      </c>
      <c r="AD208" s="1">
        <v>35</v>
      </c>
      <c r="AE208" s="36">
        <v>5.3</v>
      </c>
    </row>
    <row r="209" spans="1:31" x14ac:dyDescent="0.2">
      <c r="A209" s="1">
        <v>21</v>
      </c>
      <c r="B209" s="1" t="s">
        <v>75</v>
      </c>
      <c r="C209" s="28">
        <v>2.4060000000000001</v>
      </c>
      <c r="D209" s="1">
        <v>19</v>
      </c>
      <c r="E209" s="1">
        <v>1</v>
      </c>
      <c r="F209" s="1">
        <v>3</v>
      </c>
      <c r="G209" s="11">
        <v>2.7665000000000002</v>
      </c>
      <c r="H209" s="12">
        <v>1.5429999999999999</v>
      </c>
      <c r="I209" s="13">
        <v>2.77</v>
      </c>
      <c r="J209" s="18">
        <f t="shared" si="7"/>
        <v>2.2546862265688672</v>
      </c>
      <c r="K209" s="18">
        <f t="shared" si="6"/>
        <v>6.28901801459405</v>
      </c>
      <c r="L209" s="33">
        <v>400</v>
      </c>
      <c r="M209" s="1">
        <v>3</v>
      </c>
      <c r="N209" s="38">
        <v>45720</v>
      </c>
      <c r="O209" s="44">
        <v>1515</v>
      </c>
      <c r="P209" s="44">
        <v>3806</v>
      </c>
      <c r="Q209" s="65">
        <v>0.748</v>
      </c>
      <c r="R209" s="69">
        <v>765.5</v>
      </c>
      <c r="S209" s="74">
        <v>1927</v>
      </c>
      <c r="T209" s="49">
        <v>545340</v>
      </c>
      <c r="U209" s="56">
        <v>4.71</v>
      </c>
      <c r="V209" s="56">
        <v>5.55</v>
      </c>
      <c r="W209" s="1">
        <v>3.4</v>
      </c>
      <c r="X209" s="28">
        <v>2.3239999999999998</v>
      </c>
      <c r="Y209" s="60">
        <v>14.1</v>
      </c>
      <c r="Z209" s="1">
        <v>76</v>
      </c>
      <c r="AA209" s="60">
        <v>1.1000000000000001</v>
      </c>
      <c r="AB209" s="1">
        <v>85</v>
      </c>
      <c r="AC209" s="1">
        <v>52</v>
      </c>
      <c r="AD209" s="1">
        <v>35</v>
      </c>
      <c r="AE209" s="36">
        <v>5.3</v>
      </c>
    </row>
    <row r="210" spans="1:31" x14ac:dyDescent="0.2">
      <c r="A210" s="1">
        <v>21</v>
      </c>
      <c r="B210" s="1" t="s">
        <v>75</v>
      </c>
      <c r="C210" s="28">
        <v>2.4060000000000001</v>
      </c>
      <c r="D210" s="1">
        <v>19</v>
      </c>
      <c r="E210" s="5">
        <v>1</v>
      </c>
      <c r="F210" s="5">
        <v>4</v>
      </c>
      <c r="G210" s="14">
        <v>2.613</v>
      </c>
      <c r="H210" s="9">
        <v>1.4524999999999999</v>
      </c>
      <c r="I210" s="15">
        <v>2.6179999999999999</v>
      </c>
      <c r="J210" s="19">
        <f t="shared" si="7"/>
        <v>2.2419562419562418</v>
      </c>
      <c r="K210" s="19">
        <f t="shared" si="6"/>
        <v>6.8181113068893744</v>
      </c>
      <c r="L210" s="41"/>
      <c r="M210" s="5"/>
      <c r="N210" s="42"/>
      <c r="O210" s="47"/>
      <c r="P210" s="47"/>
      <c r="Q210" s="67"/>
      <c r="R210" s="71"/>
      <c r="S210" s="75"/>
      <c r="T210" s="51"/>
      <c r="U210" s="58">
        <v>4.71</v>
      </c>
      <c r="V210" s="58">
        <v>5.55</v>
      </c>
      <c r="W210" s="5">
        <v>3.4</v>
      </c>
      <c r="X210" s="53">
        <v>2.3239999999999998</v>
      </c>
      <c r="Y210" s="62">
        <v>14.1</v>
      </c>
      <c r="Z210" s="5">
        <v>76</v>
      </c>
      <c r="AA210" s="62">
        <v>1.1000000000000001</v>
      </c>
      <c r="AB210" s="5">
        <v>85</v>
      </c>
      <c r="AC210" s="5">
        <v>52</v>
      </c>
      <c r="AD210" s="5">
        <v>35</v>
      </c>
      <c r="AE210" s="43">
        <v>5.3</v>
      </c>
    </row>
    <row r="211" spans="1:31" x14ac:dyDescent="0.2">
      <c r="A211" s="1">
        <v>21</v>
      </c>
      <c r="B211" s="1" t="s">
        <v>76</v>
      </c>
      <c r="C211" s="28">
        <v>2.4060000000000001</v>
      </c>
      <c r="D211" s="1">
        <v>19</v>
      </c>
      <c r="E211" s="26">
        <v>2</v>
      </c>
      <c r="F211" s="26">
        <v>0</v>
      </c>
      <c r="G211" s="21">
        <v>24.027000000000001</v>
      </c>
      <c r="H211" s="22">
        <v>13.476000000000001</v>
      </c>
      <c r="I211" s="23">
        <v>24.282</v>
      </c>
      <c r="J211" s="24">
        <f t="shared" si="7"/>
        <v>2.2234869516935039</v>
      </c>
      <c r="K211" s="24">
        <f t="shared" si="6"/>
        <v>7.5857459811511374</v>
      </c>
      <c r="L211" s="33">
        <v>0</v>
      </c>
      <c r="Q211" s="65"/>
      <c r="R211" s="69"/>
      <c r="S211" s="74"/>
      <c r="T211" s="49"/>
      <c r="U211" s="56">
        <v>4.71</v>
      </c>
      <c r="V211" s="56">
        <v>5.55</v>
      </c>
      <c r="W211" s="1">
        <v>3.4</v>
      </c>
      <c r="X211" s="28">
        <v>2.3239999999999998</v>
      </c>
      <c r="Y211" s="60">
        <v>14.1</v>
      </c>
      <c r="Z211" s="1">
        <v>76</v>
      </c>
      <c r="AA211" s="60">
        <v>1.1000000000000001</v>
      </c>
      <c r="AB211" s="1">
        <v>85</v>
      </c>
      <c r="AC211" s="1">
        <v>52</v>
      </c>
      <c r="AD211" s="1">
        <v>35</v>
      </c>
      <c r="AE211" s="36">
        <v>5.3</v>
      </c>
    </row>
    <row r="212" spans="1:31" x14ac:dyDescent="0.2">
      <c r="A212" s="1">
        <v>21</v>
      </c>
      <c r="B212" s="1" t="s">
        <v>76</v>
      </c>
      <c r="C212" s="28">
        <v>2.4060000000000001</v>
      </c>
      <c r="D212" s="1">
        <v>19</v>
      </c>
      <c r="E212" s="1">
        <v>2</v>
      </c>
      <c r="F212" s="1">
        <v>1</v>
      </c>
      <c r="G212" s="11">
        <v>2.7425000000000002</v>
      </c>
      <c r="H212" s="12">
        <v>1.5335000000000001</v>
      </c>
      <c r="I212" s="13">
        <v>2.746</v>
      </c>
      <c r="J212" s="18">
        <f t="shared" si="7"/>
        <v>2.2618556701030932</v>
      </c>
      <c r="K212" s="18">
        <f t="shared" si="6"/>
        <v>5.9910361553161646</v>
      </c>
      <c r="L212" s="33">
        <v>600</v>
      </c>
      <c r="M212" s="1">
        <v>1</v>
      </c>
      <c r="N212" s="38">
        <v>45721</v>
      </c>
      <c r="O212" s="44">
        <v>2835</v>
      </c>
      <c r="P212" s="44">
        <v>4753</v>
      </c>
      <c r="Q212" s="65">
        <v>1.931</v>
      </c>
      <c r="R212" s="69">
        <v>1403.5</v>
      </c>
      <c r="S212" s="74">
        <v>937</v>
      </c>
      <c r="T212" s="49">
        <v>170000</v>
      </c>
      <c r="U212" s="56">
        <v>4.71</v>
      </c>
      <c r="V212" s="56">
        <v>5.55</v>
      </c>
      <c r="W212" s="1">
        <v>3.4</v>
      </c>
      <c r="X212" s="28">
        <v>2.3239999999999998</v>
      </c>
      <c r="Y212" s="60">
        <v>14.1</v>
      </c>
      <c r="Z212" s="1">
        <v>76</v>
      </c>
      <c r="AA212" s="60">
        <v>1.1000000000000001</v>
      </c>
      <c r="AB212" s="1">
        <v>85</v>
      </c>
      <c r="AC212" s="1">
        <v>52</v>
      </c>
      <c r="AD212" s="1">
        <v>35</v>
      </c>
      <c r="AE212" s="36">
        <v>5.3</v>
      </c>
    </row>
    <row r="213" spans="1:31" x14ac:dyDescent="0.2">
      <c r="A213" s="1">
        <v>21</v>
      </c>
      <c r="B213" s="1" t="s">
        <v>76</v>
      </c>
      <c r="C213" s="28">
        <v>2.4060000000000001</v>
      </c>
      <c r="D213" s="1">
        <v>19</v>
      </c>
      <c r="E213" s="1">
        <v>2</v>
      </c>
      <c r="F213" s="1">
        <v>2</v>
      </c>
      <c r="G213" s="11">
        <v>2.6465000000000001</v>
      </c>
      <c r="H213" s="12">
        <v>1.4735</v>
      </c>
      <c r="I213" s="13">
        <v>2.6515</v>
      </c>
      <c r="J213" s="18">
        <f t="shared" si="7"/>
        <v>2.2466044142614603</v>
      </c>
      <c r="K213" s="18">
        <f t="shared" si="6"/>
        <v>6.6249204380107951</v>
      </c>
      <c r="L213" s="33">
        <v>400</v>
      </c>
      <c r="M213" s="1">
        <v>2</v>
      </c>
      <c r="N213" s="38">
        <v>45722</v>
      </c>
      <c r="O213" s="44">
        <v>1693</v>
      </c>
      <c r="P213" s="44">
        <v>4232</v>
      </c>
      <c r="Q213" s="65">
        <v>0.66100000000000003</v>
      </c>
      <c r="R213" s="69">
        <v>848.3</v>
      </c>
      <c r="S213" s="74">
        <v>2605</v>
      </c>
      <c r="T213" s="49">
        <v>633760</v>
      </c>
      <c r="U213" s="56">
        <v>4.71</v>
      </c>
      <c r="V213" s="56">
        <v>5.55</v>
      </c>
      <c r="W213" s="1">
        <v>3.4</v>
      </c>
      <c r="X213" s="28">
        <v>2.3239999999999998</v>
      </c>
      <c r="Y213" s="60">
        <v>14.1</v>
      </c>
      <c r="Z213" s="1">
        <v>76</v>
      </c>
      <c r="AA213" s="60">
        <v>1.1000000000000001</v>
      </c>
      <c r="AB213" s="1">
        <v>85</v>
      </c>
      <c r="AC213" s="1">
        <v>52</v>
      </c>
      <c r="AD213" s="1">
        <v>35</v>
      </c>
      <c r="AE213" s="36">
        <v>5.3</v>
      </c>
    </row>
    <row r="214" spans="1:31" x14ac:dyDescent="0.2">
      <c r="A214" s="1">
        <v>21</v>
      </c>
      <c r="B214" s="1" t="s">
        <v>76</v>
      </c>
      <c r="C214" s="28">
        <v>2.4060000000000001</v>
      </c>
      <c r="D214" s="1">
        <v>19</v>
      </c>
      <c r="E214" s="1">
        <v>2</v>
      </c>
      <c r="F214" s="1">
        <v>3</v>
      </c>
      <c r="G214" s="11">
        <v>2.7519999999999998</v>
      </c>
      <c r="H214" s="12">
        <v>1.538</v>
      </c>
      <c r="I214" s="13">
        <v>2.7595000000000001</v>
      </c>
      <c r="J214" s="18">
        <f t="shared" si="7"/>
        <v>2.252967662709783</v>
      </c>
      <c r="K214" s="18">
        <f t="shared" si="6"/>
        <v>6.3604462714138439</v>
      </c>
      <c r="L214" s="33">
        <v>400</v>
      </c>
      <c r="M214" s="1">
        <v>3</v>
      </c>
      <c r="N214" s="38">
        <v>45723</v>
      </c>
      <c r="O214" s="44">
        <v>1955</v>
      </c>
      <c r="P214" s="44">
        <v>4879</v>
      </c>
      <c r="Q214" s="65">
        <v>0.71</v>
      </c>
      <c r="R214" s="69">
        <v>975.5</v>
      </c>
      <c r="S214" s="74">
        <v>2905</v>
      </c>
      <c r="T214" s="49">
        <v>302440</v>
      </c>
      <c r="U214" s="56">
        <v>4.71</v>
      </c>
      <c r="V214" s="56">
        <v>5.55</v>
      </c>
      <c r="W214" s="1">
        <v>3.4</v>
      </c>
      <c r="X214" s="28">
        <v>2.3239999999999998</v>
      </c>
      <c r="Y214" s="60">
        <v>14.1</v>
      </c>
      <c r="Z214" s="1">
        <v>76</v>
      </c>
      <c r="AA214" s="60">
        <v>1.1000000000000001</v>
      </c>
      <c r="AB214" s="1">
        <v>85</v>
      </c>
      <c r="AC214" s="1">
        <v>52</v>
      </c>
      <c r="AD214" s="1">
        <v>35</v>
      </c>
      <c r="AE214" s="36">
        <v>5.3</v>
      </c>
    </row>
    <row r="215" spans="1:31" ht="16" thickBot="1" x14ac:dyDescent="0.25">
      <c r="A215" s="1">
        <v>21</v>
      </c>
      <c r="B215" s="1" t="s">
        <v>76</v>
      </c>
      <c r="C215" s="29">
        <v>2.4060000000000001</v>
      </c>
      <c r="D215" s="2">
        <v>19</v>
      </c>
      <c r="E215" s="2">
        <v>2</v>
      </c>
      <c r="F215" s="2">
        <v>4</v>
      </c>
      <c r="G215" s="16">
        <v>2.6240000000000001</v>
      </c>
      <c r="H215" s="10">
        <v>1.4644999999999999</v>
      </c>
      <c r="I215" s="17">
        <v>2.6274999999999999</v>
      </c>
      <c r="J215" s="20">
        <f t="shared" si="7"/>
        <v>2.2562338779019777</v>
      </c>
      <c r="K215" s="20">
        <f t="shared" si="6"/>
        <v>6.2246933540325173</v>
      </c>
      <c r="L215" s="34"/>
      <c r="M215" s="2"/>
      <c r="N215" s="39"/>
      <c r="O215" s="46"/>
      <c r="P215" s="46"/>
      <c r="Q215" s="66"/>
      <c r="R215" s="70"/>
      <c r="S215" s="76"/>
      <c r="T215" s="50"/>
      <c r="U215" s="57">
        <v>4.71</v>
      </c>
      <c r="V215" s="57">
        <v>5.55</v>
      </c>
      <c r="W215" s="2">
        <v>3.4</v>
      </c>
      <c r="X215" s="29">
        <v>2.3239999999999998</v>
      </c>
      <c r="Y215" s="61">
        <v>14.1</v>
      </c>
      <c r="Z215" s="2">
        <v>76</v>
      </c>
      <c r="AA215" s="61">
        <v>1.1000000000000001</v>
      </c>
      <c r="AB215" s="2">
        <v>85</v>
      </c>
      <c r="AC215" s="2">
        <v>52</v>
      </c>
      <c r="AD215" s="2">
        <v>35</v>
      </c>
      <c r="AE215" s="4">
        <v>5.3</v>
      </c>
    </row>
    <row r="216" spans="1:31" x14ac:dyDescent="0.2">
      <c r="A216" s="1">
        <v>22</v>
      </c>
      <c r="B216" s="1" t="s">
        <v>77</v>
      </c>
      <c r="C216" s="28">
        <v>2.39</v>
      </c>
      <c r="D216" s="1">
        <v>19</v>
      </c>
      <c r="E216" s="26">
        <v>1</v>
      </c>
      <c r="F216" s="26">
        <v>0</v>
      </c>
      <c r="G216" s="21">
        <v>24.083500000000001</v>
      </c>
      <c r="H216" s="22">
        <v>13.413500000000001</v>
      </c>
      <c r="I216" s="23">
        <v>24.312000000000001</v>
      </c>
      <c r="J216" s="24">
        <f t="shared" si="7"/>
        <v>2.209799513694545</v>
      </c>
      <c r="K216" s="24">
        <f t="shared" si="6"/>
        <v>7.5397693014834788</v>
      </c>
      <c r="L216" s="33">
        <v>0</v>
      </c>
      <c r="Q216" s="65"/>
      <c r="R216" s="69"/>
      <c r="S216" s="74"/>
      <c r="T216" s="49"/>
      <c r="U216" s="56">
        <v>4.78</v>
      </c>
      <c r="V216" s="56">
        <v>5.76</v>
      </c>
      <c r="W216" s="1">
        <v>3</v>
      </c>
      <c r="X216" s="28">
        <v>2.3180000000000001</v>
      </c>
      <c r="Y216" s="60">
        <v>13.8</v>
      </c>
      <c r="Z216" s="1">
        <v>78</v>
      </c>
      <c r="AA216" s="60">
        <v>1.2</v>
      </c>
      <c r="AB216" s="1">
        <v>86</v>
      </c>
      <c r="AC216" s="1">
        <v>55</v>
      </c>
      <c r="AD216" s="1">
        <v>38</v>
      </c>
      <c r="AE216" s="36">
        <v>5.7</v>
      </c>
    </row>
    <row r="217" spans="1:31" x14ac:dyDescent="0.2">
      <c r="A217" s="1">
        <v>22</v>
      </c>
      <c r="B217" s="1" t="s">
        <v>77</v>
      </c>
      <c r="C217" s="28">
        <v>2.39</v>
      </c>
      <c r="D217" s="1">
        <v>19</v>
      </c>
      <c r="E217" s="1">
        <v>1</v>
      </c>
      <c r="F217" s="1">
        <v>1</v>
      </c>
      <c r="G217" s="11">
        <v>2.6755</v>
      </c>
      <c r="H217" s="12">
        <v>1.4950000000000001</v>
      </c>
      <c r="I217" s="13">
        <v>2.6894999999999998</v>
      </c>
      <c r="J217" s="18">
        <f t="shared" si="7"/>
        <v>2.23984930933445</v>
      </c>
      <c r="K217" s="18">
        <f t="shared" si="6"/>
        <v>6.2824556763828472</v>
      </c>
      <c r="L217" s="33">
        <v>600</v>
      </c>
      <c r="M217" s="1">
        <v>1</v>
      </c>
      <c r="N217" s="38">
        <v>45727</v>
      </c>
      <c r="O217" s="44">
        <v>2540</v>
      </c>
      <c r="P217" s="44">
        <v>4229</v>
      </c>
      <c r="Q217" s="65">
        <v>1.544</v>
      </c>
      <c r="R217" s="69">
        <v>1273</v>
      </c>
      <c r="S217" s="74">
        <v>1442</v>
      </c>
      <c r="T217" s="49">
        <v>48750</v>
      </c>
      <c r="U217" s="56">
        <v>4.78</v>
      </c>
      <c r="V217" s="56">
        <v>5.76</v>
      </c>
      <c r="W217" s="1">
        <v>3</v>
      </c>
      <c r="X217" s="28">
        <v>2.3180000000000001</v>
      </c>
      <c r="Y217" s="60">
        <v>13.8</v>
      </c>
      <c r="Z217" s="1">
        <v>78</v>
      </c>
      <c r="AA217" s="60">
        <v>1.2</v>
      </c>
      <c r="AB217" s="1">
        <v>86</v>
      </c>
      <c r="AC217" s="1">
        <v>55</v>
      </c>
      <c r="AD217" s="1">
        <v>38</v>
      </c>
      <c r="AE217" s="36">
        <v>5.7</v>
      </c>
    </row>
    <row r="218" spans="1:31" x14ac:dyDescent="0.2">
      <c r="A218" s="1">
        <v>22</v>
      </c>
      <c r="B218" s="1" t="s">
        <v>77</v>
      </c>
      <c r="C218" s="28">
        <v>2.39</v>
      </c>
      <c r="D218" s="1">
        <v>19</v>
      </c>
      <c r="E218" s="1">
        <v>1</v>
      </c>
      <c r="F218" s="1">
        <v>2</v>
      </c>
      <c r="G218" s="11">
        <v>2.702</v>
      </c>
      <c r="H218" s="12">
        <v>1.5069999999999999</v>
      </c>
      <c r="I218" s="13">
        <v>2.7120000000000002</v>
      </c>
      <c r="J218" s="18">
        <f t="shared" si="7"/>
        <v>2.2423236514522817</v>
      </c>
      <c r="K218" s="18">
        <f t="shared" si="6"/>
        <v>6.1789267174777613</v>
      </c>
      <c r="L218" s="33">
        <v>600</v>
      </c>
      <c r="M218" s="1">
        <v>2</v>
      </c>
      <c r="N218" s="38">
        <v>45727</v>
      </c>
      <c r="O218" s="44">
        <v>2647</v>
      </c>
      <c r="P218" s="44">
        <v>4410</v>
      </c>
      <c r="Q218" s="65">
        <v>1.5680000000000001</v>
      </c>
      <c r="R218" s="69">
        <v>1331.8</v>
      </c>
      <c r="S218" s="74">
        <v>2626</v>
      </c>
      <c r="T218" s="49">
        <v>74070</v>
      </c>
      <c r="U218" s="56">
        <v>4.78</v>
      </c>
      <c r="V218" s="56">
        <v>5.76</v>
      </c>
      <c r="W218" s="1">
        <v>3</v>
      </c>
      <c r="X218" s="28">
        <v>2.3180000000000001</v>
      </c>
      <c r="Y218" s="60">
        <v>13.8</v>
      </c>
      <c r="Z218" s="1">
        <v>78</v>
      </c>
      <c r="AA218" s="60">
        <v>1.2</v>
      </c>
      <c r="AB218" s="1">
        <v>86</v>
      </c>
      <c r="AC218" s="1">
        <v>55</v>
      </c>
      <c r="AD218" s="1">
        <v>38</v>
      </c>
      <c r="AE218" s="36">
        <v>5.7</v>
      </c>
    </row>
    <row r="219" spans="1:31" x14ac:dyDescent="0.2">
      <c r="A219" s="1">
        <v>22</v>
      </c>
      <c r="B219" s="1" t="s">
        <v>77</v>
      </c>
      <c r="C219" s="28">
        <v>2.39</v>
      </c>
      <c r="D219" s="1">
        <v>19</v>
      </c>
      <c r="E219" s="1">
        <v>1</v>
      </c>
      <c r="F219" s="1">
        <v>3</v>
      </c>
      <c r="G219" s="11">
        <v>2.5525000000000002</v>
      </c>
      <c r="H219" s="12">
        <v>1.419</v>
      </c>
      <c r="I219" s="13">
        <v>2.56</v>
      </c>
      <c r="J219" s="18">
        <f t="shared" si="7"/>
        <v>2.2370727432077127</v>
      </c>
      <c r="K219" s="18">
        <f t="shared" si="6"/>
        <v>6.398629991309102</v>
      </c>
      <c r="L219" s="33">
        <v>400</v>
      </c>
      <c r="M219" s="1">
        <v>3</v>
      </c>
      <c r="N219" s="38">
        <v>45727</v>
      </c>
      <c r="O219" s="44">
        <v>2117</v>
      </c>
      <c r="P219" s="44">
        <v>5294</v>
      </c>
      <c r="Q219" s="65">
        <v>0.72799999999999998</v>
      </c>
      <c r="R219" s="69">
        <v>971.7</v>
      </c>
      <c r="S219" s="74">
        <v>3402</v>
      </c>
      <c r="T219" s="49">
        <v>631520</v>
      </c>
      <c r="U219" s="56">
        <v>4.78</v>
      </c>
      <c r="V219" s="56">
        <v>5.76</v>
      </c>
      <c r="W219" s="1">
        <v>3</v>
      </c>
      <c r="X219" s="28">
        <v>2.3180000000000001</v>
      </c>
      <c r="Y219" s="60">
        <v>13.8</v>
      </c>
      <c r="Z219" s="1">
        <v>78</v>
      </c>
      <c r="AA219" s="60">
        <v>1.2</v>
      </c>
      <c r="AB219" s="1">
        <v>86</v>
      </c>
      <c r="AC219" s="1">
        <v>55</v>
      </c>
      <c r="AD219" s="1">
        <v>38</v>
      </c>
      <c r="AE219" s="36">
        <v>5.7</v>
      </c>
    </row>
    <row r="220" spans="1:31" x14ac:dyDescent="0.2">
      <c r="A220" s="1">
        <v>22</v>
      </c>
      <c r="B220" s="1" t="s">
        <v>77</v>
      </c>
      <c r="C220" s="28">
        <v>2.39</v>
      </c>
      <c r="D220" s="1">
        <v>19</v>
      </c>
      <c r="E220" s="5">
        <v>1</v>
      </c>
      <c r="F220" s="5">
        <v>4</v>
      </c>
      <c r="G220" s="14">
        <v>2.6695000000000002</v>
      </c>
      <c r="H220" s="9">
        <v>1.494</v>
      </c>
      <c r="I220" s="15">
        <v>2.6894999999999998</v>
      </c>
      <c r="J220" s="19">
        <f t="shared" si="7"/>
        <v>2.2329569217900467</v>
      </c>
      <c r="K220" s="19">
        <f t="shared" si="6"/>
        <v>6.5708400924666677</v>
      </c>
      <c r="L220" s="41">
        <v>600</v>
      </c>
      <c r="M220" s="5">
        <v>4</v>
      </c>
      <c r="N220" s="42">
        <v>45728</v>
      </c>
      <c r="O220" s="47">
        <v>3317</v>
      </c>
      <c r="P220" s="47">
        <v>5525</v>
      </c>
      <c r="Q220" s="67">
        <v>1.784</v>
      </c>
      <c r="R220" s="71">
        <v>1606.9</v>
      </c>
      <c r="S220" s="75">
        <v>2962</v>
      </c>
      <c r="T220" s="51">
        <v>89650</v>
      </c>
      <c r="U220" s="58">
        <v>4.78</v>
      </c>
      <c r="V220" s="58">
        <v>5.76</v>
      </c>
      <c r="W220" s="5">
        <v>3</v>
      </c>
      <c r="X220" s="53">
        <v>2.3180000000000001</v>
      </c>
      <c r="Y220" s="62">
        <v>13.8</v>
      </c>
      <c r="Z220" s="5">
        <v>78</v>
      </c>
      <c r="AA220" s="62">
        <v>1.2</v>
      </c>
      <c r="AB220" s="5">
        <v>86</v>
      </c>
      <c r="AC220" s="5">
        <v>55</v>
      </c>
      <c r="AD220" s="5">
        <v>38</v>
      </c>
      <c r="AE220" s="43">
        <v>5.7</v>
      </c>
    </row>
    <row r="221" spans="1:31" x14ac:dyDescent="0.2">
      <c r="A221" s="1">
        <v>22</v>
      </c>
      <c r="B221" s="1" t="s">
        <v>78</v>
      </c>
      <c r="C221" s="28">
        <v>2.39</v>
      </c>
      <c r="D221" s="1">
        <v>19</v>
      </c>
      <c r="E221" s="26">
        <v>2</v>
      </c>
      <c r="F221" s="26">
        <v>0</v>
      </c>
      <c r="G221" s="21">
        <v>24.032</v>
      </c>
      <c r="H221" s="22">
        <v>13.336499999999999</v>
      </c>
      <c r="I221" s="23">
        <v>24.250499999999999</v>
      </c>
      <c r="J221" s="24">
        <f t="shared" si="7"/>
        <v>2.2019424592266814</v>
      </c>
      <c r="K221" s="24">
        <f t="shared" si="6"/>
        <v>7.8685163503480648</v>
      </c>
      <c r="L221" s="33">
        <v>0</v>
      </c>
      <c r="Q221" s="65"/>
      <c r="R221" s="69"/>
      <c r="S221" s="74"/>
      <c r="T221" s="49"/>
      <c r="U221" s="56">
        <v>4.78</v>
      </c>
      <c r="V221" s="56">
        <v>5.76</v>
      </c>
      <c r="W221" s="1">
        <v>3</v>
      </c>
      <c r="X221" s="28">
        <v>2.3180000000000001</v>
      </c>
      <c r="Y221" s="60">
        <v>13.8</v>
      </c>
      <c r="Z221" s="1">
        <v>78</v>
      </c>
      <c r="AA221" s="60">
        <v>1.2</v>
      </c>
      <c r="AB221" s="1">
        <v>86</v>
      </c>
      <c r="AC221" s="1">
        <v>55</v>
      </c>
      <c r="AD221" s="1">
        <v>38</v>
      </c>
      <c r="AE221" s="36">
        <v>5.7</v>
      </c>
    </row>
    <row r="222" spans="1:31" x14ac:dyDescent="0.2">
      <c r="A222" s="1">
        <v>22</v>
      </c>
      <c r="B222" s="1" t="s">
        <v>78</v>
      </c>
      <c r="C222" s="28">
        <v>2.39</v>
      </c>
      <c r="D222" s="1">
        <v>19</v>
      </c>
      <c r="E222" s="1">
        <v>2</v>
      </c>
      <c r="F222" s="1">
        <v>1</v>
      </c>
      <c r="G222" s="11">
        <v>2.6920000000000002</v>
      </c>
      <c r="H222" s="12">
        <v>1.482</v>
      </c>
      <c r="I222" s="13">
        <v>2.7065000000000001</v>
      </c>
      <c r="J222" s="18">
        <f t="shared" si="7"/>
        <v>2.1984483462637812</v>
      </c>
      <c r="K222" s="18">
        <f t="shared" si="6"/>
        <v>8.0147135454484939</v>
      </c>
      <c r="L222" s="33">
        <v>400</v>
      </c>
      <c r="M222" s="1">
        <v>1</v>
      </c>
      <c r="N222" s="38">
        <v>45728</v>
      </c>
      <c r="O222" s="44">
        <v>1758</v>
      </c>
      <c r="P222" s="44">
        <v>4396</v>
      </c>
      <c r="Q222" s="65">
        <v>0.68100000000000005</v>
      </c>
      <c r="R222" s="69">
        <v>872.5</v>
      </c>
      <c r="S222" s="74">
        <v>3025</v>
      </c>
      <c r="T222" s="49">
        <v>749330</v>
      </c>
      <c r="U222" s="56">
        <v>4.78</v>
      </c>
      <c r="V222" s="56">
        <v>5.76</v>
      </c>
      <c r="W222" s="1">
        <v>3</v>
      </c>
      <c r="X222" s="28">
        <v>2.3180000000000001</v>
      </c>
      <c r="Y222" s="60">
        <v>13.8</v>
      </c>
      <c r="Z222" s="1">
        <v>78</v>
      </c>
      <c r="AA222" s="60">
        <v>1.2</v>
      </c>
      <c r="AB222" s="1">
        <v>86</v>
      </c>
      <c r="AC222" s="1">
        <v>55</v>
      </c>
      <c r="AD222" s="1">
        <v>38</v>
      </c>
      <c r="AE222" s="36">
        <v>5.7</v>
      </c>
    </row>
    <row r="223" spans="1:31" x14ac:dyDescent="0.2">
      <c r="A223" s="1">
        <v>22</v>
      </c>
      <c r="B223" s="1" t="s">
        <v>78</v>
      </c>
      <c r="C223" s="28">
        <v>2.39</v>
      </c>
      <c r="D223" s="1">
        <v>19</v>
      </c>
      <c r="E223" s="1">
        <v>2</v>
      </c>
      <c r="F223" s="1">
        <v>2</v>
      </c>
      <c r="G223" s="11">
        <v>2.7065000000000001</v>
      </c>
      <c r="H223" s="12">
        <v>1.502</v>
      </c>
      <c r="I223" s="13">
        <v>2.7214999999999998</v>
      </c>
      <c r="J223" s="18">
        <f t="shared" si="7"/>
        <v>2.2193521935219356</v>
      </c>
      <c r="K223" s="18">
        <f t="shared" si="6"/>
        <v>7.1400755848562536</v>
      </c>
      <c r="L223" s="33">
        <v>400</v>
      </c>
      <c r="M223" s="1">
        <v>2</v>
      </c>
      <c r="N223" s="38">
        <v>45730</v>
      </c>
      <c r="O223" s="44">
        <v>1948</v>
      </c>
      <c r="P223" s="44">
        <v>4879</v>
      </c>
      <c r="Q223" s="65">
        <v>0.622</v>
      </c>
      <c r="R223" s="69">
        <v>949</v>
      </c>
      <c r="S223" s="74">
        <v>2351</v>
      </c>
      <c r="T223" s="49">
        <v>820210</v>
      </c>
      <c r="U223" s="56">
        <v>4.78</v>
      </c>
      <c r="V223" s="56">
        <v>5.76</v>
      </c>
      <c r="W223" s="1">
        <v>3</v>
      </c>
      <c r="X223" s="28">
        <v>2.3180000000000001</v>
      </c>
      <c r="Y223" s="60">
        <v>13.8</v>
      </c>
      <c r="Z223" s="1">
        <v>78</v>
      </c>
      <c r="AA223" s="60">
        <v>1.2</v>
      </c>
      <c r="AB223" s="1">
        <v>86</v>
      </c>
      <c r="AC223" s="1">
        <v>55</v>
      </c>
      <c r="AD223" s="1">
        <v>38</v>
      </c>
      <c r="AE223" s="36">
        <v>5.7</v>
      </c>
    </row>
    <row r="224" spans="1:31" x14ac:dyDescent="0.2">
      <c r="A224" s="1">
        <v>22</v>
      </c>
      <c r="B224" s="1" t="s">
        <v>78</v>
      </c>
      <c r="C224" s="28">
        <v>2.39</v>
      </c>
      <c r="D224" s="1">
        <v>19</v>
      </c>
      <c r="E224" s="1">
        <v>2</v>
      </c>
      <c r="F224" s="1">
        <v>3</v>
      </c>
      <c r="G224" s="11">
        <v>2.62</v>
      </c>
      <c r="H224" s="12">
        <v>1.4575</v>
      </c>
      <c r="I224" s="13">
        <v>2.6345000000000001</v>
      </c>
      <c r="J224" s="18">
        <f t="shared" si="7"/>
        <v>2.225998300764656</v>
      </c>
      <c r="K224" s="18">
        <f t="shared" si="6"/>
        <v>6.8619957839056163</v>
      </c>
      <c r="L224" s="33"/>
      <c r="Q224" s="65"/>
      <c r="R224" s="69"/>
      <c r="S224" s="74"/>
      <c r="T224" s="49"/>
      <c r="U224" s="56">
        <v>4.78</v>
      </c>
      <c r="V224" s="56">
        <v>5.76</v>
      </c>
      <c r="W224" s="1">
        <v>3</v>
      </c>
      <c r="X224" s="28">
        <v>2.3180000000000001</v>
      </c>
      <c r="Y224" s="60">
        <v>13.8</v>
      </c>
      <c r="Z224" s="1">
        <v>78</v>
      </c>
      <c r="AA224" s="60">
        <v>1.2</v>
      </c>
      <c r="AB224" s="1">
        <v>86</v>
      </c>
      <c r="AC224" s="1">
        <v>55</v>
      </c>
      <c r="AD224" s="1">
        <v>38</v>
      </c>
      <c r="AE224" s="36">
        <v>5.7</v>
      </c>
    </row>
    <row r="225" spans="1:31" ht="16" thickBot="1" x14ac:dyDescent="0.25">
      <c r="A225" s="1">
        <v>22</v>
      </c>
      <c r="B225" s="1" t="s">
        <v>78</v>
      </c>
      <c r="C225" s="29">
        <v>2.39</v>
      </c>
      <c r="D225" s="2">
        <v>19</v>
      </c>
      <c r="E225" s="2">
        <v>2</v>
      </c>
      <c r="F225" s="2">
        <v>4</v>
      </c>
      <c r="G225" s="16">
        <v>2.6305000000000001</v>
      </c>
      <c r="H225" s="10">
        <v>1.466</v>
      </c>
      <c r="I225" s="17">
        <v>2.65</v>
      </c>
      <c r="J225" s="20">
        <f t="shared" si="7"/>
        <v>2.2217060810810811</v>
      </c>
      <c r="K225" s="20">
        <f t="shared" si="6"/>
        <v>7.041586565645142</v>
      </c>
      <c r="L225" s="34"/>
      <c r="M225" s="2"/>
      <c r="N225" s="39"/>
      <c r="O225" s="46"/>
      <c r="P225" s="46"/>
      <c r="Q225" s="66"/>
      <c r="R225" s="70"/>
      <c r="S225" s="76"/>
      <c r="T225" s="50"/>
      <c r="U225" s="57">
        <v>4.78</v>
      </c>
      <c r="V225" s="57">
        <v>5.76</v>
      </c>
      <c r="W225" s="2">
        <v>3</v>
      </c>
      <c r="X225" s="29">
        <v>2.3180000000000001</v>
      </c>
      <c r="Y225" s="61">
        <v>13.8</v>
      </c>
      <c r="Z225" s="2">
        <v>78</v>
      </c>
      <c r="AA225" s="61">
        <v>1.2</v>
      </c>
      <c r="AB225" s="2">
        <v>86</v>
      </c>
      <c r="AC225" s="2">
        <v>55</v>
      </c>
      <c r="AD225" s="2">
        <v>38</v>
      </c>
      <c r="AE225" s="4">
        <v>5.7</v>
      </c>
    </row>
    <row r="226" spans="1:31" x14ac:dyDescent="0.2">
      <c r="A226" s="1">
        <v>23</v>
      </c>
      <c r="B226" s="1" t="s">
        <v>79</v>
      </c>
      <c r="C226" s="28">
        <v>2.41</v>
      </c>
      <c r="D226" s="1">
        <v>19</v>
      </c>
      <c r="E226" s="26">
        <v>1</v>
      </c>
      <c r="F226" s="26">
        <v>0</v>
      </c>
      <c r="G226" s="21">
        <v>23.9055</v>
      </c>
      <c r="H226" s="22">
        <v>13.401</v>
      </c>
      <c r="I226" s="23">
        <v>24.184000000000001</v>
      </c>
      <c r="J226" s="24">
        <f t="shared" si="7"/>
        <v>2.2169618844477417</v>
      </c>
      <c r="K226" s="24">
        <f t="shared" si="6"/>
        <v>8.0098803133717205</v>
      </c>
      <c r="L226" s="33">
        <v>0</v>
      </c>
      <c r="Q226" s="65"/>
      <c r="R226" s="69"/>
      <c r="S226" s="74"/>
      <c r="T226" s="49"/>
      <c r="U226" s="56">
        <v>4.45</v>
      </c>
      <c r="V226" s="56">
        <v>5.47</v>
      </c>
      <c r="W226" s="1">
        <v>3.3</v>
      </c>
      <c r="X226" s="28">
        <v>2.3290000000000002</v>
      </c>
      <c r="Y226" s="60">
        <v>13.5</v>
      </c>
      <c r="Z226" s="1">
        <v>75</v>
      </c>
      <c r="AA226" s="60">
        <v>1.2</v>
      </c>
      <c r="AB226" s="1">
        <v>85</v>
      </c>
      <c r="AC226" s="1">
        <v>53</v>
      </c>
      <c r="AD226" s="1">
        <v>36</v>
      </c>
      <c r="AE226" s="36">
        <v>5.4</v>
      </c>
    </row>
    <row r="227" spans="1:31" x14ac:dyDescent="0.2">
      <c r="A227" s="1">
        <v>23</v>
      </c>
      <c r="B227" s="1" t="s">
        <v>79</v>
      </c>
      <c r="C227" s="28">
        <v>2.41</v>
      </c>
      <c r="D227" s="1">
        <v>19</v>
      </c>
      <c r="E227" s="1">
        <v>1</v>
      </c>
      <c r="F227" s="1">
        <v>1</v>
      </c>
      <c r="G227" s="11">
        <v>2.6760000000000002</v>
      </c>
      <c r="H227" s="12">
        <v>1.486</v>
      </c>
      <c r="I227" s="13">
        <v>2.6825000000000001</v>
      </c>
      <c r="J227" s="18">
        <f>+IF(G227=0,"",G227/(I227-H227))</f>
        <v>2.2365231926452149</v>
      </c>
      <c r="K227" s="18">
        <f t="shared" si="6"/>
        <v>7.1982077740574741</v>
      </c>
      <c r="L227" s="33">
        <v>600</v>
      </c>
      <c r="M227" s="1">
        <v>1</v>
      </c>
      <c r="N227" s="38">
        <v>45731</v>
      </c>
      <c r="O227" s="44">
        <v>2119</v>
      </c>
      <c r="P227" s="44">
        <v>3541</v>
      </c>
      <c r="Q227" s="65">
        <v>1.37</v>
      </c>
      <c r="R227" s="69">
        <v>1099.5999999999999</v>
      </c>
      <c r="S227" s="74">
        <v>1057</v>
      </c>
      <c r="T227" s="49">
        <v>130000</v>
      </c>
      <c r="U227" s="56">
        <v>4.45</v>
      </c>
      <c r="V227" s="56">
        <v>5.47</v>
      </c>
      <c r="W227" s="1">
        <v>3.3</v>
      </c>
      <c r="X227" s="28">
        <v>2.3290000000000002</v>
      </c>
      <c r="Y227" s="60">
        <v>13.5</v>
      </c>
      <c r="Z227" s="1">
        <v>75</v>
      </c>
      <c r="AA227" s="60">
        <v>1.2</v>
      </c>
      <c r="AB227" s="1">
        <v>85</v>
      </c>
      <c r="AC227" s="1">
        <v>53</v>
      </c>
      <c r="AD227" s="1">
        <v>36</v>
      </c>
      <c r="AE227" s="36">
        <v>5.4</v>
      </c>
    </row>
    <row r="228" spans="1:31" x14ac:dyDescent="0.2">
      <c r="A228" s="1">
        <v>23</v>
      </c>
      <c r="B228" s="1" t="s">
        <v>79</v>
      </c>
      <c r="C228" s="28">
        <v>2.41</v>
      </c>
      <c r="D228" s="1">
        <v>19</v>
      </c>
      <c r="E228" s="1">
        <v>1</v>
      </c>
      <c r="F228" s="1">
        <v>2</v>
      </c>
      <c r="G228" s="11">
        <v>2.653</v>
      </c>
      <c r="H228" s="12">
        <v>1.4764999999999999</v>
      </c>
      <c r="I228" s="13">
        <v>2.6589999999999998</v>
      </c>
      <c r="J228" s="18">
        <f>+IF(G228=0,"",G228/(I228-H228))</f>
        <v>2.2435517970401695</v>
      </c>
      <c r="K228" s="18">
        <f t="shared" si="6"/>
        <v>6.9065644381672513</v>
      </c>
      <c r="L228" s="33">
        <v>600</v>
      </c>
      <c r="M228" s="1">
        <v>2</v>
      </c>
      <c r="N228" s="38">
        <v>45732</v>
      </c>
      <c r="O228" s="44">
        <v>2989</v>
      </c>
      <c r="P228" s="44">
        <v>4989</v>
      </c>
      <c r="Q228" s="65">
        <v>1.575</v>
      </c>
      <c r="R228" s="69">
        <v>1386.1</v>
      </c>
      <c r="S228" s="74">
        <v>1479</v>
      </c>
      <c r="T228" s="49">
        <v>31970</v>
      </c>
      <c r="U228" s="56">
        <v>4.45</v>
      </c>
      <c r="V228" s="56">
        <v>5.47</v>
      </c>
      <c r="W228" s="1">
        <v>3.3</v>
      </c>
      <c r="X228" s="28">
        <v>2.3290000000000002</v>
      </c>
      <c r="Y228" s="60">
        <v>13.5</v>
      </c>
      <c r="Z228" s="1">
        <v>75</v>
      </c>
      <c r="AA228" s="60">
        <v>1.2</v>
      </c>
      <c r="AB228" s="1">
        <v>85</v>
      </c>
      <c r="AC228" s="1">
        <v>53</v>
      </c>
      <c r="AD228" s="1">
        <v>36</v>
      </c>
      <c r="AE228" s="36">
        <v>5.4</v>
      </c>
    </row>
    <row r="229" spans="1:31" x14ac:dyDescent="0.2">
      <c r="A229" s="1">
        <v>23</v>
      </c>
      <c r="B229" s="1" t="s">
        <v>79</v>
      </c>
      <c r="C229" s="28">
        <v>2.41</v>
      </c>
      <c r="D229" s="1">
        <v>19</v>
      </c>
      <c r="E229" s="1">
        <v>1</v>
      </c>
      <c r="F229" s="1">
        <v>3</v>
      </c>
      <c r="G229" s="11">
        <v>2.7052</v>
      </c>
      <c r="H229" s="12">
        <v>1.5145</v>
      </c>
      <c r="I229" s="13">
        <v>2.7160000000000002</v>
      </c>
      <c r="J229" s="18">
        <f>+IF(G229=0,"",G229/(I229-H229))</f>
        <v>2.2515189346650017</v>
      </c>
      <c r="K229" s="18">
        <f t="shared" si="6"/>
        <v>6.5759778147302272</v>
      </c>
      <c r="L229" s="33">
        <v>600</v>
      </c>
      <c r="M229" s="1">
        <v>3</v>
      </c>
      <c r="N229" s="38">
        <v>45732</v>
      </c>
      <c r="O229" s="44">
        <v>2922</v>
      </c>
      <c r="P229" s="44">
        <v>4871</v>
      </c>
      <c r="Q229" s="65">
        <v>1.5449999999999999</v>
      </c>
      <c r="R229" s="69">
        <v>1449</v>
      </c>
      <c r="S229" s="74">
        <v>1459</v>
      </c>
      <c r="T229" s="49">
        <v>21250</v>
      </c>
      <c r="U229" s="56">
        <v>4.45</v>
      </c>
      <c r="V229" s="56">
        <v>5.47</v>
      </c>
      <c r="W229" s="1">
        <v>3.3</v>
      </c>
      <c r="X229" s="28">
        <v>2.3290000000000002</v>
      </c>
      <c r="Y229" s="60">
        <v>13.5</v>
      </c>
      <c r="Z229" s="1">
        <v>75</v>
      </c>
      <c r="AA229" s="60">
        <v>1.2</v>
      </c>
      <c r="AB229" s="1">
        <v>85</v>
      </c>
      <c r="AC229" s="1">
        <v>53</v>
      </c>
      <c r="AD229" s="1">
        <v>36</v>
      </c>
      <c r="AE229" s="36">
        <v>5.4</v>
      </c>
    </row>
    <row r="230" spans="1:31" x14ac:dyDescent="0.2">
      <c r="A230" s="1">
        <v>23</v>
      </c>
      <c r="B230" s="1" t="s">
        <v>79</v>
      </c>
      <c r="C230" s="28">
        <v>2.41</v>
      </c>
      <c r="D230" s="1">
        <v>19</v>
      </c>
      <c r="E230" s="5">
        <v>1</v>
      </c>
      <c r="F230" s="5">
        <v>4</v>
      </c>
      <c r="G230" s="14">
        <v>2.6739999999999999</v>
      </c>
      <c r="H230" s="9">
        <v>1.49</v>
      </c>
      <c r="I230" s="15">
        <v>2.681</v>
      </c>
      <c r="J230" s="19">
        <f>+IF(G230=0,"",G230/(I230-H230))</f>
        <v>2.2451721242653231</v>
      </c>
      <c r="K230" s="19">
        <f t="shared" si="6"/>
        <v>6.8393309433475995</v>
      </c>
      <c r="L230" s="41">
        <v>400</v>
      </c>
      <c r="M230" s="5">
        <v>4</v>
      </c>
      <c r="N230" s="42">
        <v>45732</v>
      </c>
      <c r="O230" s="47">
        <v>1922</v>
      </c>
      <c r="P230" s="47">
        <v>4797</v>
      </c>
      <c r="Q230" s="67">
        <v>0.69299999999999995</v>
      </c>
      <c r="R230" s="71">
        <v>955.3</v>
      </c>
      <c r="S230" s="75">
        <v>1428</v>
      </c>
      <c r="T230" s="51">
        <v>575000</v>
      </c>
      <c r="U230" s="58">
        <v>4.45</v>
      </c>
      <c r="V230" s="58">
        <v>5.47</v>
      </c>
      <c r="W230" s="5">
        <v>3.3</v>
      </c>
      <c r="X230" s="53">
        <v>2.3290000000000002</v>
      </c>
      <c r="Y230" s="62">
        <v>13.5</v>
      </c>
      <c r="Z230" s="5">
        <v>75</v>
      </c>
      <c r="AA230" s="62">
        <v>1.2</v>
      </c>
      <c r="AB230" s="5">
        <v>85</v>
      </c>
      <c r="AC230" s="5">
        <v>53</v>
      </c>
      <c r="AD230" s="5">
        <v>36</v>
      </c>
      <c r="AE230" s="43">
        <v>5.4</v>
      </c>
    </row>
    <row r="231" spans="1:31" x14ac:dyDescent="0.2">
      <c r="A231" s="1">
        <v>23</v>
      </c>
      <c r="B231" s="1" t="s">
        <v>80</v>
      </c>
      <c r="C231" s="28">
        <v>2.41</v>
      </c>
      <c r="D231" s="1">
        <v>19</v>
      </c>
      <c r="E231" s="26">
        <v>2</v>
      </c>
      <c r="F231" s="26">
        <v>0</v>
      </c>
      <c r="G231" s="21">
        <v>23.919499999999999</v>
      </c>
      <c r="H231" s="22">
        <v>13.4405</v>
      </c>
      <c r="I231" s="23">
        <v>24.207999999999998</v>
      </c>
      <c r="J231" s="24">
        <f t="shared" si="7"/>
        <v>2.2214534478755517</v>
      </c>
      <c r="K231" s="24">
        <f t="shared" si="6"/>
        <v>7.8235083869065747</v>
      </c>
      <c r="L231" s="33">
        <v>0</v>
      </c>
      <c r="Q231" s="65"/>
      <c r="R231" s="69"/>
      <c r="S231" s="74"/>
      <c r="T231" s="49"/>
      <c r="U231" s="56">
        <v>4.45</v>
      </c>
      <c r="V231" s="56">
        <v>5.47</v>
      </c>
      <c r="W231" s="1">
        <v>3.3</v>
      </c>
      <c r="X231" s="28">
        <v>2.3290000000000002</v>
      </c>
      <c r="Y231" s="60">
        <v>13.5</v>
      </c>
      <c r="Z231" s="1">
        <v>75</v>
      </c>
      <c r="AA231" s="60">
        <v>1.2</v>
      </c>
      <c r="AB231" s="1">
        <v>85</v>
      </c>
      <c r="AC231" s="1">
        <v>53</v>
      </c>
      <c r="AD231" s="1">
        <v>36</v>
      </c>
      <c r="AE231" s="36">
        <v>5.4</v>
      </c>
    </row>
    <row r="232" spans="1:31" x14ac:dyDescent="0.2">
      <c r="A232" s="1">
        <v>23</v>
      </c>
      <c r="B232" s="1" t="s">
        <v>80</v>
      </c>
      <c r="C232" s="28">
        <v>2.41</v>
      </c>
      <c r="D232" s="1">
        <v>19</v>
      </c>
      <c r="E232" s="1">
        <v>2</v>
      </c>
      <c r="F232" s="1">
        <v>1</v>
      </c>
      <c r="G232" s="11">
        <v>2.6905000000000001</v>
      </c>
      <c r="H232" s="12">
        <v>1.502</v>
      </c>
      <c r="I232" s="13">
        <v>2.6945000000000001</v>
      </c>
      <c r="J232" s="18">
        <f t="shared" si="7"/>
        <v>2.2561844863731655</v>
      </c>
      <c r="K232" s="18">
        <f t="shared" si="6"/>
        <v>6.3823864575450084</v>
      </c>
      <c r="L232" s="33">
        <v>400</v>
      </c>
      <c r="M232" s="1">
        <v>1</v>
      </c>
      <c r="N232" s="38">
        <v>45733</v>
      </c>
      <c r="O232" s="44">
        <v>1714</v>
      </c>
      <c r="P232" s="44">
        <v>4292</v>
      </c>
      <c r="Q232" s="65">
        <v>0.61399999999999999</v>
      </c>
      <c r="R232" s="69">
        <v>834.4</v>
      </c>
      <c r="S232" s="74">
        <v>1286</v>
      </c>
      <c r="T232" s="49">
        <v>550000</v>
      </c>
      <c r="U232" s="56">
        <v>4.45</v>
      </c>
      <c r="V232" s="56">
        <v>5.47</v>
      </c>
      <c r="W232" s="1">
        <v>3.3</v>
      </c>
      <c r="X232" s="28">
        <v>2.3290000000000002</v>
      </c>
      <c r="Y232" s="60">
        <v>13.5</v>
      </c>
      <c r="Z232" s="1">
        <v>75</v>
      </c>
      <c r="AA232" s="60">
        <v>1.2</v>
      </c>
      <c r="AB232" s="1">
        <v>85</v>
      </c>
      <c r="AC232" s="1">
        <v>53</v>
      </c>
      <c r="AD232" s="1">
        <v>36</v>
      </c>
      <c r="AE232" s="36">
        <v>5.4</v>
      </c>
    </row>
    <row r="233" spans="1:31" x14ac:dyDescent="0.2">
      <c r="A233" s="1">
        <v>23</v>
      </c>
      <c r="B233" s="1" t="s">
        <v>80</v>
      </c>
      <c r="C233" s="28">
        <v>2.41</v>
      </c>
      <c r="D233" s="1">
        <v>19</v>
      </c>
      <c r="E233" s="1">
        <v>2</v>
      </c>
      <c r="F233" s="1">
        <v>2</v>
      </c>
      <c r="G233" s="11">
        <v>2.6549999999999998</v>
      </c>
      <c r="H233" s="12">
        <v>1.4810000000000001</v>
      </c>
      <c r="I233" s="13">
        <v>2.6595</v>
      </c>
      <c r="J233" s="18">
        <f t="shared" si="7"/>
        <v>2.2528638099278746</v>
      </c>
      <c r="K233" s="18">
        <f t="shared" si="6"/>
        <v>6.5201738619139249</v>
      </c>
      <c r="L233" s="33">
        <v>400</v>
      </c>
      <c r="M233" s="1">
        <v>2</v>
      </c>
      <c r="N233" s="38">
        <v>45734</v>
      </c>
      <c r="O233" s="44">
        <v>2257</v>
      </c>
      <c r="P233" s="44">
        <v>5661</v>
      </c>
      <c r="Q233" s="65">
        <v>0.69</v>
      </c>
      <c r="R233" s="69">
        <v>1134.3</v>
      </c>
      <c r="S233" s="74">
        <v>2750</v>
      </c>
      <c r="T233" s="49">
        <v>275000</v>
      </c>
      <c r="U233" s="56">
        <v>4.45</v>
      </c>
      <c r="V233" s="56">
        <v>5.47</v>
      </c>
      <c r="W233" s="1">
        <v>3.3</v>
      </c>
      <c r="X233" s="28">
        <v>2.3290000000000002</v>
      </c>
      <c r="Y233" s="60">
        <v>13.5</v>
      </c>
      <c r="Z233" s="1">
        <v>75</v>
      </c>
      <c r="AA233" s="60">
        <v>1.2</v>
      </c>
      <c r="AB233" s="1">
        <v>85</v>
      </c>
      <c r="AC233" s="1">
        <v>53</v>
      </c>
      <c r="AD233" s="1">
        <v>36</v>
      </c>
      <c r="AE233" s="36">
        <v>5.4</v>
      </c>
    </row>
    <row r="234" spans="1:31" x14ac:dyDescent="0.2">
      <c r="A234" s="1">
        <v>23</v>
      </c>
      <c r="B234" s="1" t="s">
        <v>80</v>
      </c>
      <c r="C234" s="28">
        <v>2.41</v>
      </c>
      <c r="D234" s="1">
        <v>19</v>
      </c>
      <c r="E234" s="1">
        <v>2</v>
      </c>
      <c r="F234" s="1">
        <v>3</v>
      </c>
      <c r="G234" s="11">
        <v>2.67</v>
      </c>
      <c r="H234" s="12">
        <v>1.4955000000000001</v>
      </c>
      <c r="I234" s="13">
        <v>2.6735000000000002</v>
      </c>
      <c r="J234" s="18">
        <f t="shared" si="7"/>
        <v>2.2665534804753817</v>
      </c>
      <c r="K234" s="18">
        <f t="shared" si="6"/>
        <v>5.9521377396107189</v>
      </c>
      <c r="L234" s="33">
        <v>400</v>
      </c>
      <c r="M234" s="1">
        <v>3</v>
      </c>
      <c r="N234" s="38">
        <v>45735</v>
      </c>
      <c r="O234" s="44">
        <v>2505</v>
      </c>
      <c r="P234" s="44">
        <v>6268</v>
      </c>
      <c r="Q234" s="65">
        <v>0.82099999999999995</v>
      </c>
      <c r="R234" s="69">
        <v>1239.7</v>
      </c>
      <c r="S234" s="74">
        <v>2864</v>
      </c>
      <c r="T234" s="49">
        <v>673760</v>
      </c>
      <c r="U234" s="56">
        <v>4.45</v>
      </c>
      <c r="V234" s="56">
        <v>5.47</v>
      </c>
      <c r="W234" s="1">
        <v>3.3</v>
      </c>
      <c r="X234" s="28">
        <v>2.3290000000000002</v>
      </c>
      <c r="Y234" s="60">
        <v>13.5</v>
      </c>
      <c r="Z234" s="1">
        <v>75</v>
      </c>
      <c r="AA234" s="60">
        <v>1.2</v>
      </c>
      <c r="AB234" s="1">
        <v>85</v>
      </c>
      <c r="AC234" s="1">
        <v>53</v>
      </c>
      <c r="AD234" s="1">
        <v>36</v>
      </c>
      <c r="AE234" s="36">
        <v>5.4</v>
      </c>
    </row>
    <row r="235" spans="1:31" ht="16" thickBot="1" x14ac:dyDescent="0.25">
      <c r="A235" s="1">
        <v>23</v>
      </c>
      <c r="B235" s="1" t="s">
        <v>80</v>
      </c>
      <c r="C235" s="29">
        <v>2.41</v>
      </c>
      <c r="D235" s="2">
        <v>19</v>
      </c>
      <c r="E235" s="2">
        <v>2</v>
      </c>
      <c r="F235" s="2">
        <v>4</v>
      </c>
      <c r="G235" s="16">
        <v>2.7635000000000001</v>
      </c>
      <c r="H235" s="10">
        <v>1.5425</v>
      </c>
      <c r="I235" s="17">
        <v>2.7694999999999999</v>
      </c>
      <c r="J235" s="20">
        <f t="shared" si="7"/>
        <v>2.2522412387938062</v>
      </c>
      <c r="K235" s="20">
        <f t="shared" si="6"/>
        <v>6.5460066890536854</v>
      </c>
      <c r="L235" s="34">
        <v>600</v>
      </c>
      <c r="M235" s="2">
        <v>4</v>
      </c>
      <c r="N235" s="39">
        <v>45735</v>
      </c>
      <c r="O235" s="46">
        <v>2826</v>
      </c>
      <c r="P235" s="46">
        <v>4726</v>
      </c>
      <c r="Q235" s="66">
        <v>1.6180000000000001</v>
      </c>
      <c r="R235" s="70">
        <v>1335.6</v>
      </c>
      <c r="S235" s="76">
        <v>1813</v>
      </c>
      <c r="T235" s="50">
        <v>62830</v>
      </c>
      <c r="U235" s="57">
        <v>4.45</v>
      </c>
      <c r="V235" s="57">
        <v>5.47</v>
      </c>
      <c r="W235" s="2">
        <v>3.3</v>
      </c>
      <c r="X235" s="29">
        <v>2.3290000000000002</v>
      </c>
      <c r="Y235" s="61">
        <v>13.5</v>
      </c>
      <c r="Z235" s="2">
        <v>75</v>
      </c>
      <c r="AA235" s="61">
        <v>1.2</v>
      </c>
      <c r="AB235" s="2">
        <v>85</v>
      </c>
      <c r="AC235" s="2">
        <v>53</v>
      </c>
      <c r="AD235" s="2">
        <v>36</v>
      </c>
      <c r="AE235" s="4">
        <v>5.4</v>
      </c>
    </row>
    <row r="236" spans="1:31" x14ac:dyDescent="0.2">
      <c r="A236" s="1">
        <v>24</v>
      </c>
      <c r="B236" s="1" t="s">
        <v>81</v>
      </c>
      <c r="C236" s="28">
        <v>2.4060000000000001</v>
      </c>
      <c r="D236" s="1">
        <v>19</v>
      </c>
      <c r="E236" s="26">
        <v>1</v>
      </c>
      <c r="F236" s="26">
        <v>0</v>
      </c>
      <c r="G236" s="21">
        <v>24.115500000000001</v>
      </c>
      <c r="H236" s="22">
        <v>13.566000000000001</v>
      </c>
      <c r="I236" s="23">
        <v>24.421500000000002</v>
      </c>
      <c r="J236" s="24">
        <f t="shared" si="7"/>
        <v>2.2215006218046152</v>
      </c>
      <c r="K236" s="24">
        <f t="shared" si="6"/>
        <v>7.668303333141524</v>
      </c>
      <c r="L236" s="33">
        <v>0</v>
      </c>
      <c r="Q236" s="65"/>
      <c r="R236" s="69"/>
      <c r="S236" s="74"/>
      <c r="T236" s="49"/>
      <c r="U236" s="56">
        <v>4.47</v>
      </c>
      <c r="V236" s="56">
        <v>5.36</v>
      </c>
      <c r="W236" s="1">
        <v>3.6</v>
      </c>
      <c r="X236" s="28">
        <v>2.3180000000000001</v>
      </c>
      <c r="Y236" s="60">
        <v>13.8</v>
      </c>
      <c r="Z236" s="1">
        <v>74</v>
      </c>
      <c r="AA236" s="60">
        <v>1.2</v>
      </c>
      <c r="AB236" s="1">
        <v>84</v>
      </c>
      <c r="AC236" s="1">
        <v>52</v>
      </c>
      <c r="AD236" s="1">
        <v>35</v>
      </c>
      <c r="AE236" s="36">
        <v>5.2</v>
      </c>
    </row>
    <row r="237" spans="1:31" x14ac:dyDescent="0.2">
      <c r="A237" s="1">
        <v>24</v>
      </c>
      <c r="B237" s="1" t="s">
        <v>81</v>
      </c>
      <c r="C237" s="28">
        <v>2.4060000000000001</v>
      </c>
      <c r="D237" s="1">
        <v>19</v>
      </c>
      <c r="E237" s="1">
        <v>1</v>
      </c>
      <c r="F237" s="1">
        <v>1</v>
      </c>
      <c r="G237" s="11">
        <v>2.6160000000000001</v>
      </c>
      <c r="H237" s="12">
        <v>1.4644999999999999</v>
      </c>
      <c r="I237" s="13">
        <v>2.6375000000000002</v>
      </c>
      <c r="J237" s="18">
        <f t="shared" si="7"/>
        <v>2.2301790281329921</v>
      </c>
      <c r="K237" s="18">
        <f t="shared" si="6"/>
        <v>7.3076048157526223</v>
      </c>
      <c r="L237" s="33">
        <v>600</v>
      </c>
      <c r="M237" s="1">
        <v>1</v>
      </c>
      <c r="N237" s="38">
        <v>45735</v>
      </c>
      <c r="O237" s="44">
        <v>2898</v>
      </c>
      <c r="P237" s="44">
        <v>4823</v>
      </c>
      <c r="Q237" s="65">
        <v>1.593</v>
      </c>
      <c r="R237" s="69">
        <v>1396.2</v>
      </c>
      <c r="S237" s="74">
        <v>1433</v>
      </c>
      <c r="T237" s="49">
        <v>100000</v>
      </c>
      <c r="U237" s="56">
        <v>4.47</v>
      </c>
      <c r="V237" s="56">
        <v>5.36</v>
      </c>
      <c r="W237" s="1">
        <v>3.6</v>
      </c>
      <c r="X237" s="28">
        <v>2.3180000000000001</v>
      </c>
      <c r="Y237" s="60">
        <v>13.8</v>
      </c>
      <c r="Z237" s="1">
        <v>74</v>
      </c>
      <c r="AA237" s="60">
        <v>1.2</v>
      </c>
      <c r="AB237" s="1">
        <v>84</v>
      </c>
      <c r="AC237" s="1">
        <v>52</v>
      </c>
      <c r="AD237" s="1">
        <v>35</v>
      </c>
      <c r="AE237" s="36">
        <v>5.2</v>
      </c>
    </row>
    <row r="238" spans="1:31" x14ac:dyDescent="0.2">
      <c r="A238" s="1">
        <v>24</v>
      </c>
      <c r="B238" s="1" t="s">
        <v>81</v>
      </c>
      <c r="C238" s="28">
        <v>2.4060000000000001</v>
      </c>
      <c r="D238" s="1">
        <v>19</v>
      </c>
      <c r="E238" s="1">
        <v>1</v>
      </c>
      <c r="F238" s="1">
        <v>2</v>
      </c>
      <c r="G238" s="11">
        <v>2.5459999999999998</v>
      </c>
      <c r="H238" s="12">
        <v>1.417</v>
      </c>
      <c r="I238" s="13">
        <v>2.5575000000000001</v>
      </c>
      <c r="J238" s="18">
        <f t="shared" si="7"/>
        <v>2.2323542306006137</v>
      </c>
      <c r="K238" s="18">
        <f t="shared" si="6"/>
        <v>7.2171973981457356</v>
      </c>
      <c r="L238" s="33">
        <v>600</v>
      </c>
      <c r="M238" s="1">
        <v>2</v>
      </c>
      <c r="N238" s="38">
        <v>45735</v>
      </c>
      <c r="O238" s="44">
        <v>2757</v>
      </c>
      <c r="P238" s="44">
        <v>4601</v>
      </c>
      <c r="Q238" s="65">
        <v>1.57</v>
      </c>
      <c r="R238" s="69">
        <v>1312.1</v>
      </c>
      <c r="S238" s="74">
        <v>1374</v>
      </c>
      <c r="T238" s="49">
        <v>27500</v>
      </c>
      <c r="U238" s="56">
        <v>4.47</v>
      </c>
      <c r="V238" s="56">
        <v>5.36</v>
      </c>
      <c r="W238" s="1">
        <v>3.6</v>
      </c>
      <c r="X238" s="28">
        <v>2.3180000000000001</v>
      </c>
      <c r="Y238" s="60">
        <v>13.8</v>
      </c>
      <c r="Z238" s="1">
        <v>74</v>
      </c>
      <c r="AA238" s="60">
        <v>1.2</v>
      </c>
      <c r="AB238" s="1">
        <v>84</v>
      </c>
      <c r="AC238" s="1">
        <v>52</v>
      </c>
      <c r="AD238" s="1">
        <v>35</v>
      </c>
      <c r="AE238" s="36">
        <v>5.2</v>
      </c>
    </row>
    <row r="239" spans="1:31" x14ac:dyDescent="0.2">
      <c r="A239" s="1">
        <v>24</v>
      </c>
      <c r="B239" s="1" t="s">
        <v>81</v>
      </c>
      <c r="C239" s="28">
        <v>2.4060000000000001</v>
      </c>
      <c r="D239" s="1">
        <v>19</v>
      </c>
      <c r="E239" s="1">
        <v>1</v>
      </c>
      <c r="F239" s="1">
        <v>3</v>
      </c>
      <c r="G239" s="11">
        <v>2.6884999999999999</v>
      </c>
      <c r="H239" s="12">
        <v>1.504</v>
      </c>
      <c r="I239" s="13">
        <v>2.706</v>
      </c>
      <c r="J239" s="18">
        <f t="shared" si="7"/>
        <v>2.2366888519134775</v>
      </c>
      <c r="K239" s="18">
        <f t="shared" si="6"/>
        <v>7.0370385738371848</v>
      </c>
      <c r="L239" s="33">
        <v>400</v>
      </c>
      <c r="M239" s="1">
        <v>3</v>
      </c>
      <c r="N239" s="38">
        <v>45735</v>
      </c>
      <c r="O239" s="44">
        <v>1776</v>
      </c>
      <c r="P239" s="44">
        <v>4436</v>
      </c>
      <c r="Q239" s="65">
        <v>0.68</v>
      </c>
      <c r="R239" s="69">
        <v>880.5</v>
      </c>
      <c r="S239" s="74">
        <v>1329</v>
      </c>
      <c r="T239" s="49">
        <v>300000</v>
      </c>
      <c r="U239" s="56">
        <v>4.47</v>
      </c>
      <c r="V239" s="56">
        <v>5.36</v>
      </c>
      <c r="W239" s="1">
        <v>3.6</v>
      </c>
      <c r="X239" s="28">
        <v>2.3180000000000001</v>
      </c>
      <c r="Y239" s="60">
        <v>13.8</v>
      </c>
      <c r="Z239" s="1">
        <v>74</v>
      </c>
      <c r="AA239" s="60">
        <v>1.2</v>
      </c>
      <c r="AB239" s="1">
        <v>84</v>
      </c>
      <c r="AC239" s="1">
        <v>52</v>
      </c>
      <c r="AD239" s="1">
        <v>35</v>
      </c>
      <c r="AE239" s="36">
        <v>5.2</v>
      </c>
    </row>
    <row r="240" spans="1:31" x14ac:dyDescent="0.2">
      <c r="A240" s="1">
        <v>24</v>
      </c>
      <c r="B240" s="1" t="s">
        <v>81</v>
      </c>
      <c r="C240" s="28">
        <v>2.4060000000000001</v>
      </c>
      <c r="D240" s="1">
        <v>19</v>
      </c>
      <c r="E240" s="5">
        <v>1</v>
      </c>
      <c r="F240" s="5">
        <v>4</v>
      </c>
      <c r="G240" s="14">
        <v>2.6225000000000001</v>
      </c>
      <c r="H240" s="9">
        <v>1.4544999999999999</v>
      </c>
      <c r="I240" s="15">
        <v>2.6339999999999999</v>
      </c>
      <c r="J240" s="19">
        <f t="shared" si="7"/>
        <v>2.2233997456549388</v>
      </c>
      <c r="K240" s="19">
        <f t="shared" si="6"/>
        <v>7.5893705047822664</v>
      </c>
      <c r="L240" s="41">
        <v>400</v>
      </c>
      <c r="M240" s="5">
        <v>4</v>
      </c>
      <c r="N240" s="42">
        <v>45736</v>
      </c>
      <c r="O240" s="47">
        <v>1888</v>
      </c>
      <c r="P240" s="47">
        <v>4710</v>
      </c>
      <c r="Q240" s="67">
        <v>0.68700000000000006</v>
      </c>
      <c r="R240" s="71">
        <v>959.2</v>
      </c>
      <c r="S240" s="75">
        <v>1410</v>
      </c>
      <c r="T240" s="51">
        <v>425000</v>
      </c>
      <c r="U240" s="58">
        <v>4.47</v>
      </c>
      <c r="V240" s="58">
        <v>5.36</v>
      </c>
      <c r="W240" s="5">
        <v>3.6</v>
      </c>
      <c r="X240" s="53">
        <v>2.3180000000000001</v>
      </c>
      <c r="Y240" s="62">
        <v>13.8</v>
      </c>
      <c r="Z240" s="5">
        <v>74</v>
      </c>
      <c r="AA240" s="62">
        <v>1.2</v>
      </c>
      <c r="AB240" s="5">
        <v>84</v>
      </c>
      <c r="AC240" s="5">
        <v>52</v>
      </c>
      <c r="AD240" s="5">
        <v>35</v>
      </c>
      <c r="AE240" s="43">
        <v>5.2</v>
      </c>
    </row>
    <row r="241" spans="1:31" x14ac:dyDescent="0.2">
      <c r="A241" s="1">
        <v>24</v>
      </c>
      <c r="B241" s="1" t="s">
        <v>82</v>
      </c>
      <c r="C241" s="28">
        <v>2.4060000000000001</v>
      </c>
      <c r="D241" s="1">
        <v>19</v>
      </c>
      <c r="E241" s="26">
        <v>2</v>
      </c>
      <c r="F241" s="26">
        <v>0</v>
      </c>
      <c r="G241" s="21">
        <v>24.082000000000001</v>
      </c>
      <c r="H241" s="22">
        <v>13.592000000000001</v>
      </c>
      <c r="I241" s="23">
        <v>24.4255</v>
      </c>
      <c r="J241" s="24">
        <f t="shared" si="7"/>
        <v>2.2229196473900403</v>
      </c>
      <c r="K241" s="24">
        <f t="shared" si="6"/>
        <v>7.6093247136309161</v>
      </c>
      <c r="L241" s="33">
        <v>0</v>
      </c>
      <c r="Q241" s="65"/>
      <c r="R241" s="69"/>
      <c r="S241" s="74"/>
      <c r="T241" s="49"/>
      <c r="U241" s="56">
        <v>4.47</v>
      </c>
      <c r="V241" s="56">
        <v>5.36</v>
      </c>
      <c r="W241" s="1">
        <v>3.6</v>
      </c>
      <c r="X241" s="28">
        <v>2.3180000000000001</v>
      </c>
      <c r="Y241" s="60">
        <v>13.8</v>
      </c>
      <c r="Z241" s="1">
        <v>74</v>
      </c>
      <c r="AA241" s="60">
        <v>1.2</v>
      </c>
      <c r="AB241" s="1">
        <v>84</v>
      </c>
      <c r="AC241" s="1">
        <v>52</v>
      </c>
      <c r="AD241" s="1">
        <v>35</v>
      </c>
      <c r="AE241" s="36">
        <v>5.2</v>
      </c>
    </row>
    <row r="242" spans="1:31" x14ac:dyDescent="0.2">
      <c r="A242" s="1">
        <v>24</v>
      </c>
      <c r="B242" s="1" t="s">
        <v>82</v>
      </c>
      <c r="C242" s="28">
        <v>2.4060000000000001</v>
      </c>
      <c r="D242" s="1">
        <v>19</v>
      </c>
      <c r="E242" s="1">
        <v>2</v>
      </c>
      <c r="F242" s="1">
        <v>1</v>
      </c>
      <c r="G242" s="11">
        <v>2.641</v>
      </c>
      <c r="H242" s="12">
        <v>1.4715</v>
      </c>
      <c r="I242" s="13">
        <v>2.66</v>
      </c>
      <c r="J242" s="18">
        <f t="shared" si="7"/>
        <v>2.2221287336979385</v>
      </c>
      <c r="K242" s="18">
        <f t="shared" si="6"/>
        <v>7.6421972694123657</v>
      </c>
      <c r="L242" s="33">
        <v>600</v>
      </c>
      <c r="M242" s="1">
        <v>1</v>
      </c>
      <c r="N242" s="38">
        <v>45737</v>
      </c>
      <c r="O242" s="44">
        <v>2299</v>
      </c>
      <c r="P242" s="44">
        <v>3830</v>
      </c>
      <c r="Q242" s="65">
        <v>1.276</v>
      </c>
      <c r="R242" s="69">
        <v>1145.2</v>
      </c>
      <c r="S242" s="74">
        <v>1148</v>
      </c>
      <c r="T242" s="49">
        <v>71900</v>
      </c>
      <c r="U242" s="56">
        <v>4.47</v>
      </c>
      <c r="V242" s="56">
        <v>5.36</v>
      </c>
      <c r="W242" s="1">
        <v>3.6</v>
      </c>
      <c r="X242" s="28">
        <v>2.3180000000000001</v>
      </c>
      <c r="Y242" s="60">
        <v>13.8</v>
      </c>
      <c r="Z242" s="1">
        <v>74</v>
      </c>
      <c r="AA242" s="60">
        <v>1.2</v>
      </c>
      <c r="AB242" s="1">
        <v>84</v>
      </c>
      <c r="AC242" s="1">
        <v>52</v>
      </c>
      <c r="AD242" s="1">
        <v>35</v>
      </c>
      <c r="AE242" s="36">
        <v>5.2</v>
      </c>
    </row>
    <row r="243" spans="1:31" x14ac:dyDescent="0.2">
      <c r="A243" s="1">
        <v>24</v>
      </c>
      <c r="B243" s="1" t="s">
        <v>82</v>
      </c>
      <c r="C243" s="28">
        <v>2.4060000000000001</v>
      </c>
      <c r="D243" s="1">
        <v>19</v>
      </c>
      <c r="E243" s="1">
        <v>2</v>
      </c>
      <c r="F243" s="1">
        <v>2</v>
      </c>
      <c r="G243" s="11">
        <v>2.6480000000000001</v>
      </c>
      <c r="H243" s="12">
        <v>1.4775</v>
      </c>
      <c r="I243" s="13">
        <v>2.6619999999999999</v>
      </c>
      <c r="J243" s="18">
        <f t="shared" si="7"/>
        <v>2.2355424229632761</v>
      </c>
      <c r="K243" s="18">
        <f t="shared" si="6"/>
        <v>7.0846873248846194</v>
      </c>
      <c r="L243" s="33">
        <v>400</v>
      </c>
      <c r="M243" s="1">
        <v>2</v>
      </c>
      <c r="N243" s="38">
        <v>45741</v>
      </c>
      <c r="O243" s="44">
        <v>1886</v>
      </c>
      <c r="P243" s="44">
        <v>4721</v>
      </c>
      <c r="Q243" s="65">
        <v>0.73199999999999998</v>
      </c>
      <c r="R243" s="69">
        <v>858.3</v>
      </c>
      <c r="S243" s="74">
        <v>1464</v>
      </c>
      <c r="T243" s="49">
        <v>825000</v>
      </c>
      <c r="U243" s="56">
        <v>4.47</v>
      </c>
      <c r="V243" s="56">
        <v>5.36</v>
      </c>
      <c r="W243" s="1">
        <v>3.6</v>
      </c>
      <c r="X243" s="28">
        <v>2.3180000000000001</v>
      </c>
      <c r="Y243" s="60">
        <v>13.8</v>
      </c>
      <c r="Z243" s="1">
        <v>74</v>
      </c>
      <c r="AA243" s="60">
        <v>1.2</v>
      </c>
      <c r="AB243" s="1">
        <v>84</v>
      </c>
      <c r="AC243" s="1">
        <v>52</v>
      </c>
      <c r="AD243" s="1">
        <v>35</v>
      </c>
      <c r="AE243" s="36">
        <v>5.2</v>
      </c>
    </row>
    <row r="244" spans="1:31" x14ac:dyDescent="0.2">
      <c r="A244" s="1">
        <v>24</v>
      </c>
      <c r="B244" s="1" t="s">
        <v>82</v>
      </c>
      <c r="C244" s="28">
        <v>2.4060000000000001</v>
      </c>
      <c r="D244" s="1">
        <v>19</v>
      </c>
      <c r="E244" s="1">
        <v>2</v>
      </c>
      <c r="F244" s="1">
        <v>3</v>
      </c>
      <c r="G244" s="11">
        <v>2.5495000000000001</v>
      </c>
      <c r="H244" s="12">
        <v>1.4145000000000001</v>
      </c>
      <c r="I244" s="13">
        <v>2.5630000000000002</v>
      </c>
      <c r="J244" s="18">
        <f t="shared" si="7"/>
        <v>2.21985198084458</v>
      </c>
      <c r="K244" s="18">
        <f t="shared" si="6"/>
        <v>7.7368254013059019</v>
      </c>
      <c r="L244" s="33"/>
      <c r="Q244" s="65"/>
      <c r="R244" s="69"/>
      <c r="S244" s="74"/>
      <c r="T244" s="49"/>
      <c r="U244" s="56">
        <v>4.47</v>
      </c>
      <c r="V244" s="56">
        <v>5.36</v>
      </c>
      <c r="W244" s="1">
        <v>3.6</v>
      </c>
      <c r="X244" s="28">
        <v>2.3180000000000001</v>
      </c>
      <c r="Y244" s="60">
        <v>13.8</v>
      </c>
      <c r="Z244" s="1">
        <v>74</v>
      </c>
      <c r="AA244" s="60">
        <v>1.2</v>
      </c>
      <c r="AB244" s="1">
        <v>84</v>
      </c>
      <c r="AC244" s="1">
        <v>52</v>
      </c>
      <c r="AD244" s="1">
        <v>35</v>
      </c>
      <c r="AE244" s="36">
        <v>5.2</v>
      </c>
    </row>
    <row r="245" spans="1:31" ht="16" thickBot="1" x14ac:dyDescent="0.25">
      <c r="A245" s="1">
        <v>24</v>
      </c>
      <c r="B245" s="1" t="s">
        <v>82</v>
      </c>
      <c r="C245" s="29">
        <v>2.4060000000000001</v>
      </c>
      <c r="D245" s="2">
        <v>19</v>
      </c>
      <c r="E245" s="2">
        <v>2</v>
      </c>
      <c r="F245" s="2">
        <v>4</v>
      </c>
      <c r="G245" s="16">
        <v>2.5785</v>
      </c>
      <c r="H245" s="10">
        <v>1.4330000000000001</v>
      </c>
      <c r="I245" s="17">
        <v>2.5960000000000001</v>
      </c>
      <c r="J245" s="20">
        <f t="shared" si="7"/>
        <v>2.2171109200343939</v>
      </c>
      <c r="K245" s="20">
        <f t="shared" si="6"/>
        <v>7.8507514532670903</v>
      </c>
      <c r="L245" s="34"/>
      <c r="M245" s="2"/>
      <c r="N245" s="39"/>
      <c r="O245" s="46"/>
      <c r="P245" s="46"/>
      <c r="Q245" s="66"/>
      <c r="R245" s="70"/>
      <c r="S245" s="76"/>
      <c r="T245" s="50"/>
      <c r="U245" s="57">
        <v>4.47</v>
      </c>
      <c r="V245" s="57">
        <v>5.36</v>
      </c>
      <c r="W245" s="2">
        <v>3.6</v>
      </c>
      <c r="X245" s="29">
        <v>2.3180000000000001</v>
      </c>
      <c r="Y245" s="61">
        <v>13.8</v>
      </c>
      <c r="Z245" s="2">
        <v>74</v>
      </c>
      <c r="AA245" s="61">
        <v>1.2</v>
      </c>
      <c r="AB245" s="2">
        <v>84</v>
      </c>
      <c r="AC245" s="2">
        <v>52</v>
      </c>
      <c r="AD245" s="2">
        <v>35</v>
      </c>
      <c r="AE245" s="4">
        <v>5.2</v>
      </c>
    </row>
  </sheetData>
  <mergeCells count="3">
    <mergeCell ref="U4:AE4"/>
    <mergeCell ref="A4:K4"/>
    <mergeCell ref="L4:T4"/>
  </mergeCells>
  <conditionalFormatting sqref="K6:K245">
    <cfRule type="cellIs" dxfId="5" priority="1" operator="between">
      <formula>8</formula>
      <formula>99</formula>
    </cfRule>
    <cfRule type="cellIs" dxfId="4" priority="2" operator="lessThan">
      <formula>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538B-9658-0F4B-8BB8-42EACD4E6829}">
  <dimension ref="A1:V242"/>
  <sheetViews>
    <sheetView workbookViewId="0">
      <selection activeCell="V10" sqref="V10"/>
    </sheetView>
  </sheetViews>
  <sheetFormatPr baseColWidth="10" defaultRowHeight="15" x14ac:dyDescent="0.2"/>
  <cols>
    <col min="11" max="11" width="12.1640625" bestFit="1" customWidth="1"/>
    <col min="12" max="12" width="15.83203125" bestFit="1" customWidth="1"/>
    <col min="13" max="13" width="18.1640625" bestFit="1" customWidth="1"/>
    <col min="14" max="14" width="8.5" bestFit="1" customWidth="1"/>
    <col min="15" max="15" width="5.6640625" bestFit="1" customWidth="1"/>
  </cols>
  <sheetData>
    <row r="1" spans="1:22" ht="16" x14ac:dyDescent="0.2">
      <c r="A1" s="88" t="s">
        <v>85</v>
      </c>
      <c r="B1" s="88"/>
      <c r="C1" s="88"/>
      <c r="D1" s="88"/>
      <c r="E1" s="88"/>
      <c r="F1" s="88"/>
      <c r="G1" s="88"/>
      <c r="H1" s="88"/>
      <c r="I1" s="88"/>
      <c r="J1" s="88"/>
      <c r="K1" s="89"/>
      <c r="L1" s="90" t="s">
        <v>25</v>
      </c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2" ht="18" thickBot="1" x14ac:dyDescent="0.25">
      <c r="A2" s="3" t="s">
        <v>33</v>
      </c>
      <c r="B2" s="3" t="s">
        <v>34</v>
      </c>
      <c r="C2" s="77" t="s">
        <v>20</v>
      </c>
      <c r="D2" s="3" t="s">
        <v>7</v>
      </c>
      <c r="E2" s="3" t="s">
        <v>5</v>
      </c>
      <c r="F2" s="3" t="s">
        <v>6</v>
      </c>
      <c r="G2" s="3" t="s">
        <v>0</v>
      </c>
      <c r="H2" s="3" t="s">
        <v>2</v>
      </c>
      <c r="I2" s="3" t="s">
        <v>3</v>
      </c>
      <c r="J2" s="3" t="s">
        <v>19</v>
      </c>
      <c r="K2" s="37" t="s">
        <v>4</v>
      </c>
      <c r="L2" s="72" t="s">
        <v>17</v>
      </c>
      <c r="M2" s="72" t="s">
        <v>18</v>
      </c>
      <c r="N2" s="72" t="s">
        <v>84</v>
      </c>
      <c r="O2" s="72" t="s">
        <v>1</v>
      </c>
      <c r="P2" s="72" t="s">
        <v>29</v>
      </c>
      <c r="Q2" s="72" t="s">
        <v>30</v>
      </c>
      <c r="R2" s="72" t="s">
        <v>21</v>
      </c>
      <c r="S2" s="72" t="s">
        <v>27</v>
      </c>
      <c r="T2" s="72" t="s">
        <v>22</v>
      </c>
      <c r="U2" s="72" t="s">
        <v>23</v>
      </c>
      <c r="V2" s="72" t="s">
        <v>24</v>
      </c>
    </row>
    <row r="3" spans="1:22" x14ac:dyDescent="0.2">
      <c r="A3" s="1">
        <v>1</v>
      </c>
      <c r="B3" s="1" t="s">
        <v>35</v>
      </c>
      <c r="C3" s="28">
        <v>2.3820000000000001</v>
      </c>
      <c r="D3" s="1">
        <v>12.5</v>
      </c>
      <c r="E3" s="26">
        <v>1</v>
      </c>
      <c r="F3" s="26">
        <v>0</v>
      </c>
      <c r="G3" s="21">
        <v>24.161999999999999</v>
      </c>
      <c r="H3" s="22">
        <v>13.37</v>
      </c>
      <c r="I3" s="23">
        <v>24.534500000000001</v>
      </c>
      <c r="J3" s="24">
        <f>+IF(G3=0,"",G3/(I3-H3))</f>
        <v>2.1641811097675663</v>
      </c>
      <c r="K3" s="24">
        <f t="shared" ref="K3:K66" si="0">+IF(G3=0,"",(1-(J3/C3))*100)</f>
        <v>9.1443698670207301</v>
      </c>
      <c r="L3" s="56">
        <v>4.8899999999999997</v>
      </c>
      <c r="M3" s="56">
        <v>5.6</v>
      </c>
      <c r="N3" s="1">
        <v>4.7</v>
      </c>
      <c r="O3" s="28">
        <v>2.2709999999999999</v>
      </c>
      <c r="P3" s="60">
        <v>15.5</v>
      </c>
      <c r="Q3" s="1">
        <v>70</v>
      </c>
      <c r="R3" s="60">
        <v>1.2</v>
      </c>
      <c r="S3" s="1">
        <v>90</v>
      </c>
      <c r="T3" s="1">
        <v>56</v>
      </c>
      <c r="U3" s="1">
        <v>39</v>
      </c>
      <c r="V3" s="36">
        <v>6</v>
      </c>
    </row>
    <row r="4" spans="1:22" x14ac:dyDescent="0.2">
      <c r="A4" s="1">
        <v>1</v>
      </c>
      <c r="B4" s="1" t="s">
        <v>35</v>
      </c>
      <c r="C4" s="28">
        <v>2.3820000000000001</v>
      </c>
      <c r="D4" s="1">
        <v>12.5</v>
      </c>
      <c r="E4" s="1">
        <v>1</v>
      </c>
      <c r="F4" s="1">
        <v>1</v>
      </c>
      <c r="G4" s="11">
        <v>2.6680000000000001</v>
      </c>
      <c r="H4" s="12">
        <v>1.4635</v>
      </c>
      <c r="I4" s="13">
        <v>2.6890000000000001</v>
      </c>
      <c r="J4" s="18">
        <f>+IF(G4=0,"",G4/(I4-H4))</f>
        <v>2.1770705834353326</v>
      </c>
      <c r="K4" s="18">
        <f t="shared" si="0"/>
        <v>8.6032500656871402</v>
      </c>
      <c r="L4" s="56">
        <v>4.8899999999999997</v>
      </c>
      <c r="M4" s="56">
        <v>5.6</v>
      </c>
      <c r="N4" s="1">
        <v>4.7</v>
      </c>
      <c r="O4" s="28">
        <v>2.2709999999999999</v>
      </c>
      <c r="P4" s="60">
        <v>15.5</v>
      </c>
      <c r="Q4" s="1">
        <v>70</v>
      </c>
      <c r="R4" s="60">
        <v>1.2</v>
      </c>
      <c r="S4" s="1">
        <v>90</v>
      </c>
      <c r="T4" s="1">
        <v>56</v>
      </c>
      <c r="U4" s="1">
        <v>39</v>
      </c>
      <c r="V4" s="36">
        <v>6</v>
      </c>
    </row>
    <row r="5" spans="1:22" x14ac:dyDescent="0.2">
      <c r="A5" s="1">
        <v>1</v>
      </c>
      <c r="B5" s="1" t="s">
        <v>35</v>
      </c>
      <c r="C5" s="28">
        <v>2.3820000000000001</v>
      </c>
      <c r="D5" s="1">
        <v>12.5</v>
      </c>
      <c r="E5" s="1">
        <v>1</v>
      </c>
      <c r="F5" s="1">
        <v>2</v>
      </c>
      <c r="G5" s="11">
        <v>2.7705000000000002</v>
      </c>
      <c r="H5" s="12">
        <v>1.5435000000000001</v>
      </c>
      <c r="I5" s="13">
        <v>2.8050000000000002</v>
      </c>
      <c r="J5" s="18">
        <f t="shared" ref="J5:J68" si="1">+IF(G5=0,"",G5/(I5-H5))</f>
        <v>2.1961950059453033</v>
      </c>
      <c r="K5" s="18">
        <f t="shared" si="0"/>
        <v>7.8003775841602341</v>
      </c>
      <c r="L5" s="56">
        <v>4.8899999999999997</v>
      </c>
      <c r="M5" s="56">
        <v>5.6</v>
      </c>
      <c r="N5" s="1">
        <v>4.7</v>
      </c>
      <c r="O5" s="28">
        <v>2.2709999999999999</v>
      </c>
      <c r="P5" s="60">
        <v>15.5</v>
      </c>
      <c r="Q5" s="1">
        <v>70</v>
      </c>
      <c r="R5" s="60">
        <v>1.2</v>
      </c>
      <c r="S5" s="1">
        <v>90</v>
      </c>
      <c r="T5" s="1">
        <v>56</v>
      </c>
      <c r="U5" s="1">
        <v>39</v>
      </c>
      <c r="V5" s="36">
        <v>6</v>
      </c>
    </row>
    <row r="6" spans="1:22" x14ac:dyDescent="0.2">
      <c r="A6" s="1">
        <v>1</v>
      </c>
      <c r="B6" s="1" t="s">
        <v>35</v>
      </c>
      <c r="C6" s="28">
        <v>2.3820000000000001</v>
      </c>
      <c r="D6" s="1">
        <v>12.5</v>
      </c>
      <c r="E6" s="1">
        <v>1</v>
      </c>
      <c r="F6" s="1">
        <v>3</v>
      </c>
      <c r="G6" s="11">
        <v>2.6949999999999998</v>
      </c>
      <c r="H6" s="12">
        <v>1.4744999999999999</v>
      </c>
      <c r="I6" s="13">
        <v>2.7189999999999999</v>
      </c>
      <c r="J6" s="18">
        <f t="shared" si="1"/>
        <v>2.1655283246283648</v>
      </c>
      <c r="K6" s="18">
        <f t="shared" si="0"/>
        <v>9.0878117284481696</v>
      </c>
      <c r="L6" s="56">
        <v>4.8899999999999997</v>
      </c>
      <c r="M6" s="56">
        <v>5.6</v>
      </c>
      <c r="N6" s="1">
        <v>4.7</v>
      </c>
      <c r="O6" s="28">
        <v>2.2709999999999999</v>
      </c>
      <c r="P6" s="60">
        <v>15.5</v>
      </c>
      <c r="Q6" s="1">
        <v>70</v>
      </c>
      <c r="R6" s="60">
        <v>1.2</v>
      </c>
      <c r="S6" s="1">
        <v>90</v>
      </c>
      <c r="T6" s="1">
        <v>56</v>
      </c>
      <c r="U6" s="1">
        <v>39</v>
      </c>
      <c r="V6" s="36">
        <v>6</v>
      </c>
    </row>
    <row r="7" spans="1:22" x14ac:dyDescent="0.2">
      <c r="A7" s="1">
        <v>1</v>
      </c>
      <c r="B7" s="1" t="s">
        <v>35</v>
      </c>
      <c r="C7" s="28">
        <v>2.3820000000000001</v>
      </c>
      <c r="D7" s="1">
        <v>12.5</v>
      </c>
      <c r="E7" s="5">
        <v>1</v>
      </c>
      <c r="F7" s="5">
        <v>4</v>
      </c>
      <c r="G7" s="14">
        <v>2.7149999999999999</v>
      </c>
      <c r="H7" s="9">
        <v>1.5049999999999999</v>
      </c>
      <c r="I7" s="15">
        <v>2.7494999999999998</v>
      </c>
      <c r="J7" s="19">
        <f t="shared" si="1"/>
        <v>2.1815990357573321</v>
      </c>
      <c r="K7" s="19">
        <f t="shared" si="0"/>
        <v>8.4131387171565102</v>
      </c>
      <c r="L7" s="58">
        <v>4.8899999999999997</v>
      </c>
      <c r="M7" s="58">
        <v>5.6</v>
      </c>
      <c r="N7" s="5">
        <v>4.7</v>
      </c>
      <c r="O7" s="53">
        <v>2.2709999999999999</v>
      </c>
      <c r="P7" s="62">
        <v>15.5</v>
      </c>
      <c r="Q7" s="5">
        <v>70</v>
      </c>
      <c r="R7" s="62">
        <v>1.2</v>
      </c>
      <c r="S7" s="5">
        <v>90</v>
      </c>
      <c r="T7" s="5">
        <v>56</v>
      </c>
      <c r="U7" s="5">
        <v>39</v>
      </c>
      <c r="V7" s="43">
        <v>6</v>
      </c>
    </row>
    <row r="8" spans="1:22" x14ac:dyDescent="0.2">
      <c r="A8" s="1">
        <v>1</v>
      </c>
      <c r="B8" s="1" t="s">
        <v>36</v>
      </c>
      <c r="C8" s="28">
        <v>2.3820000000000001</v>
      </c>
      <c r="D8" s="1">
        <v>12.5</v>
      </c>
      <c r="E8" s="26">
        <v>2</v>
      </c>
      <c r="F8" s="26">
        <v>0</v>
      </c>
      <c r="G8" s="21">
        <v>24.103000000000002</v>
      </c>
      <c r="H8" s="22">
        <v>13.3515</v>
      </c>
      <c r="I8" s="23">
        <v>24.518999999999998</v>
      </c>
      <c r="J8" s="24">
        <f t="shared" si="1"/>
        <v>2.158316543541527</v>
      </c>
      <c r="K8" s="24">
        <f t="shared" si="0"/>
        <v>9.3905733189955107</v>
      </c>
      <c r="L8" s="56">
        <v>4.8899999999999997</v>
      </c>
      <c r="M8" s="56">
        <v>5.6</v>
      </c>
      <c r="N8" s="1">
        <v>4.7</v>
      </c>
      <c r="O8" s="28">
        <v>2.2709999999999999</v>
      </c>
      <c r="P8" s="60">
        <v>15.5</v>
      </c>
      <c r="Q8" s="1">
        <v>70</v>
      </c>
      <c r="R8" s="60">
        <v>1.2</v>
      </c>
      <c r="S8" s="1">
        <v>90</v>
      </c>
      <c r="T8" s="1">
        <v>56</v>
      </c>
      <c r="U8" s="1">
        <v>39</v>
      </c>
      <c r="V8" s="36">
        <v>6</v>
      </c>
    </row>
    <row r="9" spans="1:22" x14ac:dyDescent="0.2">
      <c r="A9" s="1">
        <v>1</v>
      </c>
      <c r="B9" s="1" t="s">
        <v>36</v>
      </c>
      <c r="C9" s="28">
        <v>2.3820000000000001</v>
      </c>
      <c r="D9" s="1">
        <v>12.5</v>
      </c>
      <c r="E9" s="1">
        <v>2</v>
      </c>
      <c r="F9" s="1">
        <v>1</v>
      </c>
      <c r="G9" s="11">
        <v>2.597</v>
      </c>
      <c r="H9" s="12">
        <v>1.4219999999999999</v>
      </c>
      <c r="I9" s="13">
        <v>2.6154999999999999</v>
      </c>
      <c r="J9" s="18">
        <f t="shared" si="1"/>
        <v>2.1759530791788855</v>
      </c>
      <c r="K9" s="18">
        <f t="shared" si="0"/>
        <v>8.6501646020619045</v>
      </c>
      <c r="L9" s="56">
        <v>4.8899999999999997</v>
      </c>
      <c r="M9" s="56">
        <v>5.6</v>
      </c>
      <c r="N9" s="1">
        <v>4.7</v>
      </c>
      <c r="O9" s="28">
        <v>2.2709999999999999</v>
      </c>
      <c r="P9" s="60">
        <v>15.5</v>
      </c>
      <c r="Q9" s="1">
        <v>70</v>
      </c>
      <c r="R9" s="60">
        <v>1.2</v>
      </c>
      <c r="S9" s="1">
        <v>90</v>
      </c>
      <c r="T9" s="1">
        <v>56</v>
      </c>
      <c r="U9" s="1">
        <v>39</v>
      </c>
      <c r="V9" s="36">
        <v>6</v>
      </c>
    </row>
    <row r="10" spans="1:22" x14ac:dyDescent="0.2">
      <c r="A10" s="1">
        <v>1</v>
      </c>
      <c r="B10" s="1" t="s">
        <v>36</v>
      </c>
      <c r="C10" s="28">
        <v>2.3820000000000001</v>
      </c>
      <c r="D10" s="1">
        <v>12.5</v>
      </c>
      <c r="E10" s="1">
        <v>2</v>
      </c>
      <c r="F10" s="1">
        <v>2</v>
      </c>
      <c r="G10" s="11">
        <v>2.5665</v>
      </c>
      <c r="H10" s="12">
        <v>1.4245000000000001</v>
      </c>
      <c r="I10" s="13">
        <v>2.6</v>
      </c>
      <c r="J10" s="18">
        <f t="shared" si="1"/>
        <v>2.183326244151425</v>
      </c>
      <c r="K10" s="18">
        <f t="shared" si="0"/>
        <v>8.3406278693776255</v>
      </c>
      <c r="L10" s="56">
        <v>4.8899999999999997</v>
      </c>
      <c r="M10" s="56">
        <v>5.6</v>
      </c>
      <c r="N10" s="1">
        <v>4.7</v>
      </c>
      <c r="O10" s="28">
        <v>2.2709999999999999</v>
      </c>
      <c r="P10" s="60">
        <v>15.5</v>
      </c>
      <c r="Q10" s="1">
        <v>70</v>
      </c>
      <c r="R10" s="60">
        <v>1.2</v>
      </c>
      <c r="S10" s="1">
        <v>90</v>
      </c>
      <c r="T10" s="1">
        <v>56</v>
      </c>
      <c r="U10" s="1">
        <v>39</v>
      </c>
      <c r="V10" s="36">
        <v>6</v>
      </c>
    </row>
    <row r="11" spans="1:22" x14ac:dyDescent="0.2">
      <c r="A11" s="1">
        <v>1</v>
      </c>
      <c r="B11" s="1" t="s">
        <v>36</v>
      </c>
      <c r="C11" s="28">
        <v>2.3820000000000001</v>
      </c>
      <c r="D11" s="1">
        <v>12.5</v>
      </c>
      <c r="E11" s="1">
        <v>2</v>
      </c>
      <c r="F11" s="1">
        <v>3</v>
      </c>
      <c r="G11" s="11">
        <v>2.5870000000000002</v>
      </c>
      <c r="H11" s="12">
        <v>1.417</v>
      </c>
      <c r="I11" s="13">
        <v>2.609</v>
      </c>
      <c r="J11" s="18">
        <f t="shared" si="1"/>
        <v>2.1703020134228193</v>
      </c>
      <c r="K11" s="18">
        <f t="shared" si="0"/>
        <v>8.8874049780512507</v>
      </c>
      <c r="L11" s="56">
        <v>4.8899999999999997</v>
      </c>
      <c r="M11" s="56">
        <v>5.6</v>
      </c>
      <c r="N11" s="1">
        <v>4.7</v>
      </c>
      <c r="O11" s="28">
        <v>2.2709999999999999</v>
      </c>
      <c r="P11" s="60">
        <v>15.5</v>
      </c>
      <c r="Q11" s="1">
        <v>70</v>
      </c>
      <c r="R11" s="60">
        <v>1.2</v>
      </c>
      <c r="S11" s="1">
        <v>90</v>
      </c>
      <c r="T11" s="1">
        <v>56</v>
      </c>
      <c r="U11" s="1">
        <v>39</v>
      </c>
      <c r="V11" s="36">
        <v>6</v>
      </c>
    </row>
    <row r="12" spans="1:22" ht="16" thickBot="1" x14ac:dyDescent="0.25">
      <c r="A12" s="1">
        <v>1</v>
      </c>
      <c r="B12" s="1" t="s">
        <v>36</v>
      </c>
      <c r="C12" s="29">
        <v>2.3820000000000001</v>
      </c>
      <c r="D12" s="2">
        <v>12.5</v>
      </c>
      <c r="E12" s="2">
        <v>2</v>
      </c>
      <c r="F12" s="2">
        <v>4</v>
      </c>
      <c r="G12" s="16">
        <v>2.6349999999999998</v>
      </c>
      <c r="H12" s="10">
        <v>1.468</v>
      </c>
      <c r="I12" s="17">
        <v>2.6795</v>
      </c>
      <c r="J12" s="20">
        <f t="shared" si="1"/>
        <v>2.1749896822121335</v>
      </c>
      <c r="K12" s="20">
        <f t="shared" si="0"/>
        <v>8.6906094789196757</v>
      </c>
      <c r="L12" s="57">
        <v>4.8899999999999997</v>
      </c>
      <c r="M12" s="57">
        <v>5.6</v>
      </c>
      <c r="N12" s="2">
        <v>4.7</v>
      </c>
      <c r="O12" s="29">
        <v>2.2709999999999999</v>
      </c>
      <c r="P12" s="61">
        <v>15.5</v>
      </c>
      <c r="Q12" s="2">
        <v>70</v>
      </c>
      <c r="R12" s="61">
        <v>1.2</v>
      </c>
      <c r="S12" s="2">
        <v>90</v>
      </c>
      <c r="T12" s="2">
        <v>56</v>
      </c>
      <c r="U12" s="2">
        <v>39</v>
      </c>
      <c r="V12" s="4">
        <v>6</v>
      </c>
    </row>
    <row r="13" spans="1:22" x14ac:dyDescent="0.2">
      <c r="A13" s="1">
        <v>2</v>
      </c>
      <c r="B13" s="1" t="s">
        <v>37</v>
      </c>
      <c r="C13" s="28">
        <v>2.3969999999999998</v>
      </c>
      <c r="D13" s="1">
        <v>19</v>
      </c>
      <c r="E13" s="26">
        <v>1</v>
      </c>
      <c r="F13" s="26">
        <v>0</v>
      </c>
      <c r="G13" s="21">
        <v>22.401</v>
      </c>
      <c r="H13" s="22">
        <v>12.295</v>
      </c>
      <c r="I13" s="23">
        <v>22.889500000000002</v>
      </c>
      <c r="J13" s="24">
        <f t="shared" si="1"/>
        <v>2.1143989806031427</v>
      </c>
      <c r="K13" s="24">
        <f t="shared" si="0"/>
        <v>11.789779699493419</v>
      </c>
      <c r="L13" s="56">
        <v>4.6399999999999997</v>
      </c>
      <c r="M13" s="56">
        <v>5.6</v>
      </c>
      <c r="N13" s="1">
        <v>4.9000000000000004</v>
      </c>
      <c r="O13" s="28">
        <v>2.2799999999999998</v>
      </c>
      <c r="P13" s="60">
        <v>15.2</v>
      </c>
      <c r="Q13" s="1">
        <v>68</v>
      </c>
      <c r="R13" s="60">
        <v>1.1000000000000001</v>
      </c>
      <c r="S13" s="1">
        <v>87</v>
      </c>
      <c r="T13" s="1">
        <v>53</v>
      </c>
      <c r="U13" s="1">
        <v>37</v>
      </c>
      <c r="V13" s="36">
        <v>5</v>
      </c>
    </row>
    <row r="14" spans="1:22" x14ac:dyDescent="0.2">
      <c r="A14" s="1">
        <v>2</v>
      </c>
      <c r="B14" s="1" t="s">
        <v>37</v>
      </c>
      <c r="C14" s="28">
        <v>2.3969999999999998</v>
      </c>
      <c r="D14" s="1">
        <v>19</v>
      </c>
      <c r="E14" s="1">
        <v>1</v>
      </c>
      <c r="F14" s="1">
        <v>1</v>
      </c>
      <c r="G14" s="11">
        <v>2.6175000000000002</v>
      </c>
      <c r="H14" s="12">
        <v>1.45</v>
      </c>
      <c r="I14" s="13">
        <v>2.6720000000000002</v>
      </c>
      <c r="J14" s="18">
        <f t="shared" si="1"/>
        <v>2.1419803600654661</v>
      </c>
      <c r="K14" s="18">
        <f t="shared" si="0"/>
        <v>10.639117227139494</v>
      </c>
      <c r="L14" s="56">
        <v>4.6399999999999997</v>
      </c>
      <c r="M14" s="56">
        <v>5.6</v>
      </c>
      <c r="N14" s="1">
        <v>4.9000000000000004</v>
      </c>
      <c r="O14" s="28">
        <v>2.2799999999999998</v>
      </c>
      <c r="P14" s="60">
        <v>15.2</v>
      </c>
      <c r="Q14" s="1">
        <v>68</v>
      </c>
      <c r="R14" s="60">
        <v>1.1000000000000001</v>
      </c>
      <c r="S14" s="1">
        <v>87</v>
      </c>
      <c r="T14" s="1">
        <v>53</v>
      </c>
      <c r="U14" s="1">
        <v>37</v>
      </c>
      <c r="V14" s="36">
        <v>5</v>
      </c>
    </row>
    <row r="15" spans="1:22" x14ac:dyDescent="0.2">
      <c r="A15" s="1">
        <v>2</v>
      </c>
      <c r="B15" s="1" t="s">
        <v>37</v>
      </c>
      <c r="C15" s="28">
        <v>2.3969999999999998</v>
      </c>
      <c r="D15" s="1">
        <v>19</v>
      </c>
      <c r="E15" s="1">
        <v>1</v>
      </c>
      <c r="F15" s="1">
        <v>2</v>
      </c>
      <c r="G15" s="11">
        <v>2.5779999999999998</v>
      </c>
      <c r="H15" s="12">
        <v>1.42</v>
      </c>
      <c r="I15" s="13">
        <v>2.6459999999999999</v>
      </c>
      <c r="J15" s="18">
        <f t="shared" si="1"/>
        <v>2.102773246329527</v>
      </c>
      <c r="K15" s="18">
        <f t="shared" si="0"/>
        <v>12.274791559051845</v>
      </c>
      <c r="L15" s="56">
        <v>4.6399999999999997</v>
      </c>
      <c r="M15" s="56">
        <v>5.6</v>
      </c>
      <c r="N15" s="1">
        <v>4.9000000000000004</v>
      </c>
      <c r="O15" s="28">
        <v>2.2799999999999998</v>
      </c>
      <c r="P15" s="60">
        <v>15.2</v>
      </c>
      <c r="Q15" s="1">
        <v>68</v>
      </c>
      <c r="R15" s="60">
        <v>1.1000000000000001</v>
      </c>
      <c r="S15" s="1">
        <v>87</v>
      </c>
      <c r="T15" s="1">
        <v>53</v>
      </c>
      <c r="U15" s="1">
        <v>37</v>
      </c>
      <c r="V15" s="36">
        <v>5</v>
      </c>
    </row>
    <row r="16" spans="1:22" x14ac:dyDescent="0.2">
      <c r="A16" s="1">
        <v>2</v>
      </c>
      <c r="B16" s="1" t="s">
        <v>37</v>
      </c>
      <c r="C16" s="28">
        <v>2.3969999999999998</v>
      </c>
      <c r="D16" s="1">
        <v>19</v>
      </c>
      <c r="E16" s="1">
        <v>1</v>
      </c>
      <c r="F16" s="1">
        <v>3</v>
      </c>
      <c r="G16" s="11">
        <v>2.5390000000000001</v>
      </c>
      <c r="H16" s="12">
        <v>1.3794999999999999</v>
      </c>
      <c r="I16" s="13">
        <v>2.5819999999999999</v>
      </c>
      <c r="J16" s="18">
        <f t="shared" si="1"/>
        <v>2.1114345114345117</v>
      </c>
      <c r="K16" s="18">
        <f t="shared" si="0"/>
        <v>11.913453840863086</v>
      </c>
      <c r="L16" s="56">
        <v>4.6399999999999997</v>
      </c>
      <c r="M16" s="56">
        <v>5.6</v>
      </c>
      <c r="N16" s="1">
        <v>4.9000000000000004</v>
      </c>
      <c r="O16" s="28">
        <v>2.2799999999999998</v>
      </c>
      <c r="P16" s="60">
        <v>15.2</v>
      </c>
      <c r="Q16" s="1">
        <v>68</v>
      </c>
      <c r="R16" s="60">
        <v>1.1000000000000001</v>
      </c>
      <c r="S16" s="1">
        <v>87</v>
      </c>
      <c r="T16" s="1">
        <v>53</v>
      </c>
      <c r="U16" s="1">
        <v>37</v>
      </c>
      <c r="V16" s="36">
        <v>5</v>
      </c>
    </row>
    <row r="17" spans="1:22" x14ac:dyDescent="0.2">
      <c r="A17" s="1">
        <v>2</v>
      </c>
      <c r="B17" s="1" t="s">
        <v>37</v>
      </c>
      <c r="C17" s="28">
        <v>2.3969999999999998</v>
      </c>
      <c r="D17" s="1">
        <v>19</v>
      </c>
      <c r="E17" s="5">
        <v>1</v>
      </c>
      <c r="F17" s="5">
        <v>4</v>
      </c>
      <c r="G17" s="14">
        <v>2.5270000000000001</v>
      </c>
      <c r="H17" s="9">
        <v>1.363</v>
      </c>
      <c r="I17" s="15">
        <v>2.5659999999999998</v>
      </c>
      <c r="J17" s="19">
        <f t="shared" si="1"/>
        <v>2.1005818786367421</v>
      </c>
      <c r="K17" s="19">
        <f t="shared" si="0"/>
        <v>12.366212822830946</v>
      </c>
      <c r="L17" s="58">
        <v>4.6399999999999997</v>
      </c>
      <c r="M17" s="58">
        <v>5.6</v>
      </c>
      <c r="N17" s="5">
        <v>4.9000000000000004</v>
      </c>
      <c r="O17" s="53">
        <v>2.2799999999999998</v>
      </c>
      <c r="P17" s="62">
        <v>15.2</v>
      </c>
      <c r="Q17" s="5">
        <v>68</v>
      </c>
      <c r="R17" s="62">
        <v>1.1000000000000001</v>
      </c>
      <c r="S17" s="5">
        <v>87</v>
      </c>
      <c r="T17" s="5">
        <v>53</v>
      </c>
      <c r="U17" s="5">
        <v>37</v>
      </c>
      <c r="V17" s="43">
        <v>5</v>
      </c>
    </row>
    <row r="18" spans="1:22" x14ac:dyDescent="0.2">
      <c r="A18" s="1">
        <v>2</v>
      </c>
      <c r="B18" s="1" t="s">
        <v>38</v>
      </c>
      <c r="C18" s="28">
        <v>2.3969999999999998</v>
      </c>
      <c r="D18" s="1">
        <v>19</v>
      </c>
      <c r="E18" s="26">
        <v>2</v>
      </c>
      <c r="F18" s="26">
        <v>0</v>
      </c>
      <c r="G18" s="21">
        <v>24.121500000000001</v>
      </c>
      <c r="H18" s="22">
        <v>13.327</v>
      </c>
      <c r="I18" s="23">
        <v>24.408000000000001</v>
      </c>
      <c r="J18" s="24">
        <f t="shared" si="1"/>
        <v>2.1768342207382005</v>
      </c>
      <c r="K18" s="24">
        <f t="shared" si="0"/>
        <v>9.1850554552273422</v>
      </c>
      <c r="L18" s="56">
        <v>4.6399999999999997</v>
      </c>
      <c r="M18" s="56">
        <v>5.6</v>
      </c>
      <c r="N18" s="1">
        <v>4.9000000000000004</v>
      </c>
      <c r="O18" s="28">
        <v>2.2799999999999998</v>
      </c>
      <c r="P18" s="60">
        <v>15.2</v>
      </c>
      <c r="Q18" s="1">
        <v>68</v>
      </c>
      <c r="R18" s="60">
        <v>1.1000000000000001</v>
      </c>
      <c r="S18" s="1">
        <v>87</v>
      </c>
      <c r="T18" s="1">
        <v>53</v>
      </c>
      <c r="U18" s="1">
        <v>37</v>
      </c>
      <c r="V18" s="36">
        <v>5</v>
      </c>
    </row>
    <row r="19" spans="1:22" x14ac:dyDescent="0.2">
      <c r="A19" s="1">
        <v>2</v>
      </c>
      <c r="B19" s="1" t="s">
        <v>38</v>
      </c>
      <c r="C19" s="28">
        <v>2.3969999999999998</v>
      </c>
      <c r="D19" s="1">
        <v>19</v>
      </c>
      <c r="E19" s="1">
        <v>2</v>
      </c>
      <c r="F19" s="1">
        <v>1</v>
      </c>
      <c r="G19" s="11">
        <v>2.6739999999999999</v>
      </c>
      <c r="H19" s="12">
        <v>1.4970000000000001</v>
      </c>
      <c r="I19" s="13">
        <v>2.7054999999999998</v>
      </c>
      <c r="J19" s="18">
        <f t="shared" si="1"/>
        <v>2.2126603227141088</v>
      </c>
      <c r="K19" s="18">
        <f t="shared" si="0"/>
        <v>7.6904329280722106</v>
      </c>
      <c r="L19" s="56">
        <v>4.6399999999999997</v>
      </c>
      <c r="M19" s="56">
        <v>5.6</v>
      </c>
      <c r="N19" s="1">
        <v>4.9000000000000004</v>
      </c>
      <c r="O19" s="28">
        <v>2.2799999999999998</v>
      </c>
      <c r="P19" s="60">
        <v>15.2</v>
      </c>
      <c r="Q19" s="1">
        <v>68</v>
      </c>
      <c r="R19" s="60">
        <v>1.1000000000000001</v>
      </c>
      <c r="S19" s="1">
        <v>87</v>
      </c>
      <c r="T19" s="1">
        <v>53</v>
      </c>
      <c r="U19" s="1">
        <v>37</v>
      </c>
      <c r="V19" s="36">
        <v>5</v>
      </c>
    </row>
    <row r="20" spans="1:22" x14ac:dyDescent="0.2">
      <c r="A20" s="1">
        <v>2</v>
      </c>
      <c r="B20" s="1" t="s">
        <v>38</v>
      </c>
      <c r="C20" s="28">
        <v>2.3969999999999998</v>
      </c>
      <c r="D20" s="1">
        <v>19</v>
      </c>
      <c r="E20" s="1">
        <v>2</v>
      </c>
      <c r="F20" s="1">
        <v>2</v>
      </c>
      <c r="G20" s="11">
        <v>2.6415000000000002</v>
      </c>
      <c r="H20" s="12">
        <v>1.4655</v>
      </c>
      <c r="I20" s="13">
        <v>2.6549999999999998</v>
      </c>
      <c r="J20" s="18">
        <f t="shared" si="1"/>
        <v>2.2206809583858771</v>
      </c>
      <c r="K20" s="18">
        <f t="shared" si="0"/>
        <v>7.3558215108102898</v>
      </c>
      <c r="L20" s="56">
        <v>4.6399999999999997</v>
      </c>
      <c r="M20" s="56">
        <v>5.6</v>
      </c>
      <c r="N20" s="1">
        <v>4.9000000000000004</v>
      </c>
      <c r="O20" s="28">
        <v>2.2799999999999998</v>
      </c>
      <c r="P20" s="60">
        <v>15.2</v>
      </c>
      <c r="Q20" s="1">
        <v>68</v>
      </c>
      <c r="R20" s="60">
        <v>1.1000000000000001</v>
      </c>
      <c r="S20" s="1">
        <v>87</v>
      </c>
      <c r="T20" s="1">
        <v>53</v>
      </c>
      <c r="U20" s="1">
        <v>37</v>
      </c>
      <c r="V20" s="36">
        <v>5</v>
      </c>
    </row>
    <row r="21" spans="1:22" x14ac:dyDescent="0.2">
      <c r="A21" s="1">
        <v>2</v>
      </c>
      <c r="B21" s="1" t="s">
        <v>38</v>
      </c>
      <c r="C21" s="28">
        <v>2.3969999999999998</v>
      </c>
      <c r="D21" s="1">
        <v>19</v>
      </c>
      <c r="E21" s="1">
        <v>2</v>
      </c>
      <c r="F21" s="1">
        <v>3</v>
      </c>
      <c r="G21" s="11">
        <v>2.6564999999999999</v>
      </c>
      <c r="H21" s="12">
        <v>1.484</v>
      </c>
      <c r="I21" s="13">
        <v>2.6779999999999999</v>
      </c>
      <c r="J21" s="18">
        <f t="shared" si="1"/>
        <v>2.2248743718592965</v>
      </c>
      <c r="K21" s="18">
        <f t="shared" si="0"/>
        <v>7.1808772691157046</v>
      </c>
      <c r="L21" s="56">
        <v>4.6399999999999997</v>
      </c>
      <c r="M21" s="56">
        <v>5.6</v>
      </c>
      <c r="N21" s="1">
        <v>4.9000000000000004</v>
      </c>
      <c r="O21" s="28">
        <v>2.2799999999999998</v>
      </c>
      <c r="P21" s="60">
        <v>15.2</v>
      </c>
      <c r="Q21" s="1">
        <v>68</v>
      </c>
      <c r="R21" s="60">
        <v>1.1000000000000001</v>
      </c>
      <c r="S21" s="1">
        <v>87</v>
      </c>
      <c r="T21" s="1">
        <v>53</v>
      </c>
      <c r="U21" s="1">
        <v>37</v>
      </c>
      <c r="V21" s="36">
        <v>5</v>
      </c>
    </row>
    <row r="22" spans="1:22" ht="16" thickBot="1" x14ac:dyDescent="0.25">
      <c r="A22" s="1">
        <v>2</v>
      </c>
      <c r="B22" s="1" t="s">
        <v>38</v>
      </c>
      <c r="C22" s="29">
        <v>2.3969999999999998</v>
      </c>
      <c r="D22" s="2">
        <v>19</v>
      </c>
      <c r="E22" s="2">
        <v>2</v>
      </c>
      <c r="F22" s="2">
        <v>4</v>
      </c>
      <c r="G22" s="16">
        <v>2.6145</v>
      </c>
      <c r="H22" s="10">
        <v>1.4535</v>
      </c>
      <c r="I22" s="17">
        <v>2.6305000000000001</v>
      </c>
      <c r="J22" s="20">
        <f t="shared" si="1"/>
        <v>2.221325403568394</v>
      </c>
      <c r="K22" s="20">
        <f t="shared" si="0"/>
        <v>7.3289360213435906</v>
      </c>
      <c r="L22" s="57">
        <v>4.6399999999999997</v>
      </c>
      <c r="M22" s="57">
        <v>5.6</v>
      </c>
      <c r="N22" s="2">
        <v>4.9000000000000004</v>
      </c>
      <c r="O22" s="29">
        <v>2.2799999999999998</v>
      </c>
      <c r="P22" s="61">
        <v>15.2</v>
      </c>
      <c r="Q22" s="2">
        <v>68</v>
      </c>
      <c r="R22" s="61">
        <v>1.1000000000000001</v>
      </c>
      <c r="S22" s="2">
        <v>87</v>
      </c>
      <c r="T22" s="2">
        <v>53</v>
      </c>
      <c r="U22" s="2">
        <v>37</v>
      </c>
      <c r="V22" s="4">
        <v>5</v>
      </c>
    </row>
    <row r="23" spans="1:22" x14ac:dyDescent="0.2">
      <c r="A23" s="1">
        <v>3</v>
      </c>
      <c r="B23" s="1" t="s">
        <v>39</v>
      </c>
      <c r="C23" s="28">
        <v>2.3780000000000001</v>
      </c>
      <c r="D23" s="1">
        <v>12.5</v>
      </c>
      <c r="E23" s="26">
        <v>1</v>
      </c>
      <c r="F23" s="26">
        <v>0</v>
      </c>
      <c r="G23" s="21">
        <v>24.1035</v>
      </c>
      <c r="H23" s="22">
        <v>13.2965</v>
      </c>
      <c r="I23" s="23">
        <v>24.3095</v>
      </c>
      <c r="J23" s="24">
        <f t="shared" si="1"/>
        <v>2.1886406973576684</v>
      </c>
      <c r="K23" s="24">
        <f t="shared" si="0"/>
        <v>7.9629647873141973</v>
      </c>
      <c r="L23" s="59">
        <v>4.99</v>
      </c>
      <c r="M23" s="59">
        <v>5.6</v>
      </c>
      <c r="N23" s="30">
        <v>4.4000000000000004</v>
      </c>
      <c r="O23" s="31">
        <v>2.2730000000000001</v>
      </c>
      <c r="P23" s="63">
        <v>15.5</v>
      </c>
      <c r="Q23" s="30">
        <v>72</v>
      </c>
      <c r="R23" s="63">
        <v>1.1000000000000001</v>
      </c>
      <c r="S23" s="30">
        <v>92</v>
      </c>
      <c r="T23" s="30">
        <v>55</v>
      </c>
      <c r="U23" s="30">
        <v>38</v>
      </c>
      <c r="V23" s="35">
        <v>5.6</v>
      </c>
    </row>
    <row r="24" spans="1:22" x14ac:dyDescent="0.2">
      <c r="A24" s="1">
        <v>3</v>
      </c>
      <c r="B24" s="1" t="s">
        <v>39</v>
      </c>
      <c r="C24" s="28">
        <v>2.3780000000000001</v>
      </c>
      <c r="D24" s="1">
        <v>12.5</v>
      </c>
      <c r="E24" s="1">
        <v>1</v>
      </c>
      <c r="F24" s="1">
        <v>1</v>
      </c>
      <c r="G24" s="11">
        <v>2.6404999999999998</v>
      </c>
      <c r="H24" s="12">
        <v>1.4524999999999999</v>
      </c>
      <c r="I24" s="13">
        <v>2.6520000000000001</v>
      </c>
      <c r="J24" s="18">
        <f t="shared" si="1"/>
        <v>2.2013338891204661</v>
      </c>
      <c r="K24" s="18">
        <f t="shared" si="0"/>
        <v>7.4291888511158088</v>
      </c>
      <c r="L24" s="56">
        <v>4.99</v>
      </c>
      <c r="M24" s="56">
        <v>5.6</v>
      </c>
      <c r="N24" s="1">
        <v>4.4000000000000004</v>
      </c>
      <c r="O24" s="28">
        <v>2.2730000000000001</v>
      </c>
      <c r="P24" s="60">
        <v>15.5</v>
      </c>
      <c r="Q24" s="1">
        <v>72</v>
      </c>
      <c r="R24" s="60">
        <v>1.1000000000000001</v>
      </c>
      <c r="S24" s="1">
        <v>92</v>
      </c>
      <c r="T24" s="1">
        <v>55</v>
      </c>
      <c r="U24" s="1">
        <v>38</v>
      </c>
      <c r="V24" s="36">
        <v>5.6</v>
      </c>
    </row>
    <row r="25" spans="1:22" x14ac:dyDescent="0.2">
      <c r="A25" s="1">
        <v>3</v>
      </c>
      <c r="B25" s="1" t="s">
        <v>39</v>
      </c>
      <c r="C25" s="28">
        <v>2.3780000000000001</v>
      </c>
      <c r="D25" s="1">
        <v>12.5</v>
      </c>
      <c r="E25" s="1">
        <v>1</v>
      </c>
      <c r="F25" s="1">
        <v>2</v>
      </c>
      <c r="G25" s="11">
        <v>2.7294999999999998</v>
      </c>
      <c r="H25" s="12">
        <v>1.512</v>
      </c>
      <c r="I25" s="13">
        <v>2.7534999999999998</v>
      </c>
      <c r="J25" s="18">
        <f t="shared" si="1"/>
        <v>2.1985501409585182</v>
      </c>
      <c r="K25" s="18">
        <f t="shared" si="0"/>
        <v>7.5462514315173257</v>
      </c>
      <c r="L25" s="56">
        <v>4.99</v>
      </c>
      <c r="M25" s="56">
        <v>5.6</v>
      </c>
      <c r="N25" s="1">
        <v>4.4000000000000004</v>
      </c>
      <c r="O25" s="28">
        <v>2.2730000000000001</v>
      </c>
      <c r="P25" s="60">
        <v>15.5</v>
      </c>
      <c r="Q25" s="1">
        <v>72</v>
      </c>
      <c r="R25" s="60">
        <v>1.1000000000000001</v>
      </c>
      <c r="S25" s="1">
        <v>92</v>
      </c>
      <c r="T25" s="1">
        <v>55</v>
      </c>
      <c r="U25" s="1">
        <v>38</v>
      </c>
      <c r="V25" s="36">
        <v>5.6</v>
      </c>
    </row>
    <row r="26" spans="1:22" x14ac:dyDescent="0.2">
      <c r="A26" s="1">
        <v>3</v>
      </c>
      <c r="B26" s="1" t="s">
        <v>39</v>
      </c>
      <c r="C26" s="28">
        <v>2.3780000000000001</v>
      </c>
      <c r="D26" s="1">
        <v>12.5</v>
      </c>
      <c r="E26" s="1">
        <v>1</v>
      </c>
      <c r="F26" s="1">
        <v>3</v>
      </c>
      <c r="G26" s="11">
        <v>2.7389999999999999</v>
      </c>
      <c r="H26" s="12">
        <v>1.5089999999999999</v>
      </c>
      <c r="I26" s="13">
        <v>2.7549999999999999</v>
      </c>
      <c r="J26" s="18">
        <f t="shared" si="1"/>
        <v>2.1982343499197432</v>
      </c>
      <c r="K26" s="18">
        <f t="shared" si="0"/>
        <v>7.559531121962026</v>
      </c>
      <c r="L26" s="56">
        <v>4.99</v>
      </c>
      <c r="M26" s="56">
        <v>5.6</v>
      </c>
      <c r="N26" s="1">
        <v>4.4000000000000004</v>
      </c>
      <c r="O26" s="28">
        <v>2.2730000000000001</v>
      </c>
      <c r="P26" s="60">
        <v>15.5</v>
      </c>
      <c r="Q26" s="1">
        <v>72</v>
      </c>
      <c r="R26" s="60">
        <v>1.1000000000000001</v>
      </c>
      <c r="S26" s="1">
        <v>92</v>
      </c>
      <c r="T26" s="1">
        <v>55</v>
      </c>
      <c r="U26" s="1">
        <v>38</v>
      </c>
      <c r="V26" s="36">
        <v>5.6</v>
      </c>
    </row>
    <row r="27" spans="1:22" x14ac:dyDescent="0.2">
      <c r="A27" s="1">
        <v>3</v>
      </c>
      <c r="B27" s="1" t="s">
        <v>39</v>
      </c>
      <c r="C27" s="28">
        <v>2.3780000000000001</v>
      </c>
      <c r="D27" s="1">
        <v>12.5</v>
      </c>
      <c r="E27" s="5">
        <v>1</v>
      </c>
      <c r="F27" s="5">
        <v>4</v>
      </c>
      <c r="G27" s="14">
        <v>2.7614999999999998</v>
      </c>
      <c r="H27" s="9">
        <v>1.54</v>
      </c>
      <c r="I27" s="15">
        <v>2.7915000000000001</v>
      </c>
      <c r="J27" s="19">
        <f t="shared" si="1"/>
        <v>2.2065521374350778</v>
      </c>
      <c r="K27" s="19">
        <f t="shared" si="0"/>
        <v>7.2097503181212108</v>
      </c>
      <c r="L27" s="58">
        <v>4.99</v>
      </c>
      <c r="M27" s="58">
        <v>5.6</v>
      </c>
      <c r="N27" s="5">
        <v>4.4000000000000004</v>
      </c>
      <c r="O27" s="53">
        <v>2.2730000000000001</v>
      </c>
      <c r="P27" s="62">
        <v>15.5</v>
      </c>
      <c r="Q27" s="5">
        <v>72</v>
      </c>
      <c r="R27" s="62">
        <v>1.1000000000000001</v>
      </c>
      <c r="S27" s="5">
        <v>92</v>
      </c>
      <c r="T27" s="5">
        <v>55</v>
      </c>
      <c r="U27" s="5">
        <v>38</v>
      </c>
      <c r="V27" s="43">
        <v>5.6</v>
      </c>
    </row>
    <row r="28" spans="1:22" x14ac:dyDescent="0.2">
      <c r="A28" s="1">
        <v>3</v>
      </c>
      <c r="B28" s="1" t="s">
        <v>40</v>
      </c>
      <c r="C28" s="28">
        <v>2.3780000000000001</v>
      </c>
      <c r="D28" s="1">
        <v>12.5</v>
      </c>
      <c r="E28" s="26">
        <v>2</v>
      </c>
      <c r="F28" s="26">
        <v>0</v>
      </c>
      <c r="G28" s="21">
        <v>24.176500000000001</v>
      </c>
      <c r="H28" s="22">
        <v>13.2905</v>
      </c>
      <c r="I28" s="23">
        <v>24.307500000000001</v>
      </c>
      <c r="J28" s="24">
        <f t="shared" si="1"/>
        <v>2.1944721793591722</v>
      </c>
      <c r="K28" s="24">
        <f t="shared" si="0"/>
        <v>7.7177384626084038</v>
      </c>
      <c r="L28" s="56">
        <v>4.99</v>
      </c>
      <c r="M28" s="56">
        <v>5.6</v>
      </c>
      <c r="N28" s="1">
        <v>4.4000000000000004</v>
      </c>
      <c r="O28" s="28">
        <v>2.2730000000000001</v>
      </c>
      <c r="P28" s="60">
        <v>15.5</v>
      </c>
      <c r="Q28" s="1">
        <v>72</v>
      </c>
      <c r="R28" s="60">
        <v>1.1000000000000001</v>
      </c>
      <c r="S28" s="1">
        <v>92</v>
      </c>
      <c r="T28" s="1">
        <v>55</v>
      </c>
      <c r="U28" s="1">
        <v>38</v>
      </c>
      <c r="V28" s="36">
        <v>5.6</v>
      </c>
    </row>
    <row r="29" spans="1:22" x14ac:dyDescent="0.2">
      <c r="A29" s="1">
        <v>3</v>
      </c>
      <c r="B29" s="1" t="s">
        <v>40</v>
      </c>
      <c r="C29" s="28">
        <v>2.3780000000000001</v>
      </c>
      <c r="D29" s="1">
        <v>12.5</v>
      </c>
      <c r="E29" s="1">
        <v>2</v>
      </c>
      <c r="F29" s="1">
        <v>1</v>
      </c>
      <c r="G29" s="11">
        <v>2.7305000000000001</v>
      </c>
      <c r="H29" s="12">
        <v>1.5125</v>
      </c>
      <c r="I29" s="13">
        <v>2.7534999999999998</v>
      </c>
      <c r="J29" s="18">
        <f t="shared" si="1"/>
        <v>2.2002417405318293</v>
      </c>
      <c r="K29" s="18">
        <f t="shared" si="0"/>
        <v>7.4751160415546973</v>
      </c>
      <c r="L29" s="56">
        <v>4.99</v>
      </c>
      <c r="M29" s="56">
        <v>5.6</v>
      </c>
      <c r="N29" s="1">
        <v>4.4000000000000004</v>
      </c>
      <c r="O29" s="28">
        <v>2.2730000000000001</v>
      </c>
      <c r="P29" s="60">
        <v>15.5</v>
      </c>
      <c r="Q29" s="1">
        <v>72</v>
      </c>
      <c r="R29" s="60">
        <v>1.1000000000000001</v>
      </c>
      <c r="S29" s="1">
        <v>92</v>
      </c>
      <c r="T29" s="1">
        <v>55</v>
      </c>
      <c r="U29" s="1">
        <v>38</v>
      </c>
      <c r="V29" s="36">
        <v>5.6</v>
      </c>
    </row>
    <row r="30" spans="1:22" x14ac:dyDescent="0.2">
      <c r="A30" s="1">
        <v>3</v>
      </c>
      <c r="B30" s="1" t="s">
        <v>40</v>
      </c>
      <c r="C30" s="28">
        <v>2.3780000000000001</v>
      </c>
      <c r="D30" s="1">
        <v>12.5</v>
      </c>
      <c r="E30" s="1">
        <v>2</v>
      </c>
      <c r="F30" s="1">
        <v>2</v>
      </c>
      <c r="G30" s="11">
        <v>2.7349999999999999</v>
      </c>
      <c r="H30" s="12">
        <v>1.4975000000000001</v>
      </c>
      <c r="I30" s="13">
        <v>2.7450000000000001</v>
      </c>
      <c r="J30" s="18">
        <f t="shared" si="1"/>
        <v>2.1923847695390779</v>
      </c>
      <c r="K30" s="18">
        <f t="shared" si="0"/>
        <v>7.8055185223264161</v>
      </c>
      <c r="L30" s="56">
        <v>4.99</v>
      </c>
      <c r="M30" s="56">
        <v>5.6</v>
      </c>
      <c r="N30" s="1">
        <v>4.4000000000000004</v>
      </c>
      <c r="O30" s="28">
        <v>2.2730000000000001</v>
      </c>
      <c r="P30" s="60">
        <v>15.5</v>
      </c>
      <c r="Q30" s="1">
        <v>72</v>
      </c>
      <c r="R30" s="60">
        <v>1.1000000000000001</v>
      </c>
      <c r="S30" s="1">
        <v>92</v>
      </c>
      <c r="T30" s="1">
        <v>55</v>
      </c>
      <c r="U30" s="1">
        <v>38</v>
      </c>
      <c r="V30" s="36">
        <v>5.6</v>
      </c>
    </row>
    <row r="31" spans="1:22" x14ac:dyDescent="0.2">
      <c r="A31" s="1">
        <v>3</v>
      </c>
      <c r="B31" s="1" t="s">
        <v>40</v>
      </c>
      <c r="C31" s="28">
        <v>2.3780000000000001</v>
      </c>
      <c r="D31" s="1">
        <v>12.5</v>
      </c>
      <c r="E31" s="1">
        <v>2</v>
      </c>
      <c r="F31" s="1">
        <v>3</v>
      </c>
      <c r="G31" s="11">
        <v>2.7214999999999998</v>
      </c>
      <c r="H31" s="12">
        <v>1.5115000000000001</v>
      </c>
      <c r="I31" s="13">
        <v>2.7450000000000001</v>
      </c>
      <c r="J31" s="18">
        <f t="shared" si="1"/>
        <v>2.2063234698013781</v>
      </c>
      <c r="K31" s="18">
        <f t="shared" si="0"/>
        <v>7.2193662825324694</v>
      </c>
      <c r="L31" s="56">
        <v>4.99</v>
      </c>
      <c r="M31" s="56">
        <v>5.6</v>
      </c>
      <c r="N31" s="1">
        <v>4.4000000000000004</v>
      </c>
      <c r="O31" s="28">
        <v>2.2730000000000001</v>
      </c>
      <c r="P31" s="60">
        <v>15.5</v>
      </c>
      <c r="Q31" s="1">
        <v>72</v>
      </c>
      <c r="R31" s="60">
        <v>1.1000000000000001</v>
      </c>
      <c r="S31" s="1">
        <v>92</v>
      </c>
      <c r="T31" s="1">
        <v>55</v>
      </c>
      <c r="U31" s="1">
        <v>38</v>
      </c>
      <c r="V31" s="36">
        <v>5.6</v>
      </c>
    </row>
    <row r="32" spans="1:22" ht="16" thickBot="1" x14ac:dyDescent="0.25">
      <c r="A32" s="1">
        <v>3</v>
      </c>
      <c r="B32" s="1" t="s">
        <v>40</v>
      </c>
      <c r="C32" s="29">
        <v>2.3780000000000001</v>
      </c>
      <c r="D32" s="2">
        <v>12.5</v>
      </c>
      <c r="E32" s="2">
        <v>2</v>
      </c>
      <c r="F32" s="2">
        <v>4</v>
      </c>
      <c r="G32" s="16">
        <v>2.758</v>
      </c>
      <c r="H32" s="10">
        <v>1.5205</v>
      </c>
      <c r="I32" s="17">
        <v>2.7745000000000002</v>
      </c>
      <c r="J32" s="20">
        <f t="shared" si="1"/>
        <v>2.1993620414673041</v>
      </c>
      <c r="K32" s="20">
        <f t="shared" si="0"/>
        <v>7.5121092738728361</v>
      </c>
      <c r="L32" s="57">
        <v>4.99</v>
      </c>
      <c r="M32" s="57">
        <v>5.6</v>
      </c>
      <c r="N32" s="2">
        <v>4.4000000000000004</v>
      </c>
      <c r="O32" s="29">
        <v>2.2730000000000001</v>
      </c>
      <c r="P32" s="61">
        <v>15.5</v>
      </c>
      <c r="Q32" s="2">
        <v>72</v>
      </c>
      <c r="R32" s="61">
        <v>1.1000000000000001</v>
      </c>
      <c r="S32" s="2">
        <v>92</v>
      </c>
      <c r="T32" s="2">
        <v>55</v>
      </c>
      <c r="U32" s="2">
        <v>38</v>
      </c>
      <c r="V32" s="4">
        <v>5.6</v>
      </c>
    </row>
    <row r="33" spans="1:22" x14ac:dyDescent="0.2">
      <c r="A33" s="1">
        <v>4</v>
      </c>
      <c r="B33" s="1" t="s">
        <v>41</v>
      </c>
      <c r="C33" s="28">
        <v>2.383</v>
      </c>
      <c r="D33" s="1">
        <v>19</v>
      </c>
      <c r="E33" s="26">
        <v>1</v>
      </c>
      <c r="F33" s="26">
        <v>0</v>
      </c>
      <c r="G33" s="21">
        <v>24.217500000000001</v>
      </c>
      <c r="H33" s="22">
        <v>13.4785</v>
      </c>
      <c r="I33" s="23">
        <v>24.469000000000001</v>
      </c>
      <c r="J33" s="24">
        <f t="shared" si="1"/>
        <v>2.2034939265729494</v>
      </c>
      <c r="K33" s="24">
        <f t="shared" si="0"/>
        <v>7.5327768958057373</v>
      </c>
      <c r="L33" s="56">
        <v>4.9400000000000004</v>
      </c>
      <c r="M33" s="56">
        <v>5.68</v>
      </c>
      <c r="N33" s="1">
        <v>3.9</v>
      </c>
      <c r="O33" s="28">
        <v>2.2909999999999999</v>
      </c>
      <c r="P33" s="60">
        <v>14.9</v>
      </c>
      <c r="Q33" s="1">
        <v>74</v>
      </c>
      <c r="R33" s="60">
        <v>1</v>
      </c>
      <c r="S33" s="1">
        <v>83</v>
      </c>
      <c r="T33" s="1">
        <v>47</v>
      </c>
      <c r="U33" s="1">
        <v>34</v>
      </c>
      <c r="V33" s="36">
        <v>5</v>
      </c>
    </row>
    <row r="34" spans="1:22" x14ac:dyDescent="0.2">
      <c r="A34" s="1">
        <v>4</v>
      </c>
      <c r="B34" s="1" t="s">
        <v>41</v>
      </c>
      <c r="C34" s="28">
        <v>2.383</v>
      </c>
      <c r="D34" s="1">
        <v>19</v>
      </c>
      <c r="E34" s="1">
        <v>1</v>
      </c>
      <c r="F34" s="1">
        <v>1</v>
      </c>
      <c r="G34" s="11">
        <v>2.7865000000000002</v>
      </c>
      <c r="H34" s="12">
        <v>1.5549999999999999</v>
      </c>
      <c r="I34" s="13">
        <v>2.7989999999999999</v>
      </c>
      <c r="J34" s="18">
        <f t="shared" si="1"/>
        <v>2.239951768488746</v>
      </c>
      <c r="K34" s="18">
        <f t="shared" si="0"/>
        <v>6.002863261068148</v>
      </c>
      <c r="L34" s="56">
        <v>4.9400000000000004</v>
      </c>
      <c r="M34" s="56">
        <v>5.68</v>
      </c>
      <c r="N34" s="1">
        <v>3.9</v>
      </c>
      <c r="O34" s="28">
        <v>2.2909999999999999</v>
      </c>
      <c r="P34" s="60">
        <v>14.9</v>
      </c>
      <c r="Q34" s="1">
        <v>74</v>
      </c>
      <c r="R34" s="60">
        <v>1</v>
      </c>
      <c r="S34" s="1">
        <v>83</v>
      </c>
      <c r="T34" s="1">
        <v>47</v>
      </c>
      <c r="U34" s="1">
        <v>34</v>
      </c>
      <c r="V34" s="36">
        <v>5</v>
      </c>
    </row>
    <row r="35" spans="1:22" x14ac:dyDescent="0.2">
      <c r="A35" s="1">
        <v>4</v>
      </c>
      <c r="B35" s="1" t="s">
        <v>41</v>
      </c>
      <c r="C35" s="28">
        <v>2.383</v>
      </c>
      <c r="D35" s="1">
        <v>19</v>
      </c>
      <c r="E35" s="1">
        <v>1</v>
      </c>
      <c r="F35" s="1">
        <v>2</v>
      </c>
      <c r="G35" s="11">
        <v>2.8414999999999999</v>
      </c>
      <c r="H35" s="12">
        <v>1.577</v>
      </c>
      <c r="I35" s="13">
        <v>2.8525</v>
      </c>
      <c r="J35" s="18">
        <f t="shared" si="1"/>
        <v>2.2277538220305759</v>
      </c>
      <c r="K35" s="18">
        <f t="shared" si="0"/>
        <v>6.5147368010668893</v>
      </c>
      <c r="L35" s="56">
        <v>4.9400000000000004</v>
      </c>
      <c r="M35" s="56">
        <v>5.68</v>
      </c>
      <c r="N35" s="1">
        <v>3.9</v>
      </c>
      <c r="O35" s="28">
        <v>2.2909999999999999</v>
      </c>
      <c r="P35" s="60">
        <v>14.9</v>
      </c>
      <c r="Q35" s="1">
        <v>74</v>
      </c>
      <c r="R35" s="60">
        <v>1</v>
      </c>
      <c r="S35" s="1">
        <v>83</v>
      </c>
      <c r="T35" s="1">
        <v>47</v>
      </c>
      <c r="U35" s="1">
        <v>34</v>
      </c>
      <c r="V35" s="36">
        <v>5</v>
      </c>
    </row>
    <row r="36" spans="1:22" x14ac:dyDescent="0.2">
      <c r="A36" s="1">
        <v>4</v>
      </c>
      <c r="B36" s="1" t="s">
        <v>41</v>
      </c>
      <c r="C36" s="28">
        <v>2.383</v>
      </c>
      <c r="D36" s="1">
        <v>19</v>
      </c>
      <c r="E36" s="1">
        <v>1</v>
      </c>
      <c r="F36" s="1">
        <v>3</v>
      </c>
      <c r="G36" s="11">
        <v>2.7429999999999999</v>
      </c>
      <c r="H36" s="12">
        <v>1.5305</v>
      </c>
      <c r="I36" s="13">
        <v>2.758</v>
      </c>
      <c r="J36" s="18">
        <f t="shared" si="1"/>
        <v>2.2346232179226067</v>
      </c>
      <c r="K36" s="18">
        <f t="shared" si="0"/>
        <v>6.226470082979163</v>
      </c>
      <c r="L36" s="56">
        <v>4.9400000000000004</v>
      </c>
      <c r="M36" s="56">
        <v>5.68</v>
      </c>
      <c r="N36" s="1">
        <v>3.9</v>
      </c>
      <c r="O36" s="28">
        <v>2.2909999999999999</v>
      </c>
      <c r="P36" s="60">
        <v>14.9</v>
      </c>
      <c r="Q36" s="1">
        <v>74</v>
      </c>
      <c r="R36" s="60">
        <v>1</v>
      </c>
      <c r="S36" s="1">
        <v>83</v>
      </c>
      <c r="T36" s="1">
        <v>47</v>
      </c>
      <c r="U36" s="1">
        <v>34</v>
      </c>
      <c r="V36" s="36">
        <v>5</v>
      </c>
    </row>
    <row r="37" spans="1:22" x14ac:dyDescent="0.2">
      <c r="A37" s="1">
        <v>4</v>
      </c>
      <c r="B37" s="1" t="s">
        <v>41</v>
      </c>
      <c r="C37" s="28">
        <v>2.383</v>
      </c>
      <c r="D37" s="1">
        <v>19</v>
      </c>
      <c r="E37" s="5">
        <v>1</v>
      </c>
      <c r="F37" s="5">
        <v>4</v>
      </c>
      <c r="G37" s="14">
        <v>2.6680000000000001</v>
      </c>
      <c r="H37" s="9">
        <v>1.4910000000000001</v>
      </c>
      <c r="I37" s="15">
        <v>2.6840000000000002</v>
      </c>
      <c r="J37" s="19">
        <f t="shared" si="1"/>
        <v>2.2363788767812238</v>
      </c>
      <c r="K37" s="19">
        <f t="shared" si="0"/>
        <v>6.1527957708256924</v>
      </c>
      <c r="L37" s="58">
        <v>4.9400000000000004</v>
      </c>
      <c r="M37" s="58">
        <v>5.68</v>
      </c>
      <c r="N37" s="5">
        <v>3.9</v>
      </c>
      <c r="O37" s="53">
        <v>2.2909999999999999</v>
      </c>
      <c r="P37" s="62">
        <v>14.9</v>
      </c>
      <c r="Q37" s="5">
        <v>74</v>
      </c>
      <c r="R37" s="62">
        <v>1</v>
      </c>
      <c r="S37" s="5">
        <v>83</v>
      </c>
      <c r="T37" s="5">
        <v>47</v>
      </c>
      <c r="U37" s="5">
        <v>34</v>
      </c>
      <c r="V37" s="43">
        <v>5</v>
      </c>
    </row>
    <row r="38" spans="1:22" x14ac:dyDescent="0.2">
      <c r="A38" s="1">
        <v>4</v>
      </c>
      <c r="B38" s="1" t="s">
        <v>42</v>
      </c>
      <c r="C38" s="28">
        <v>2.383</v>
      </c>
      <c r="D38" s="1">
        <v>19</v>
      </c>
      <c r="E38" s="26">
        <v>2</v>
      </c>
      <c r="F38" s="26">
        <v>0</v>
      </c>
      <c r="G38" s="21">
        <v>24.1585</v>
      </c>
      <c r="H38" s="22">
        <v>13.44</v>
      </c>
      <c r="I38" s="23">
        <v>24.414999999999999</v>
      </c>
      <c r="J38" s="24">
        <f t="shared" si="1"/>
        <v>2.20123006833713</v>
      </c>
      <c r="K38" s="24">
        <f t="shared" si="0"/>
        <v>7.6277772414129252</v>
      </c>
      <c r="L38" s="56">
        <v>4.9400000000000004</v>
      </c>
      <c r="M38" s="56">
        <v>5.68</v>
      </c>
      <c r="N38" s="1">
        <v>3.9</v>
      </c>
      <c r="O38" s="28">
        <v>2.2909999999999999</v>
      </c>
      <c r="P38" s="60">
        <v>14.9</v>
      </c>
      <c r="Q38" s="1">
        <v>74</v>
      </c>
      <c r="R38" s="60">
        <v>1</v>
      </c>
      <c r="S38" s="1">
        <v>83</v>
      </c>
      <c r="T38" s="1">
        <v>47</v>
      </c>
      <c r="U38" s="1">
        <v>34</v>
      </c>
      <c r="V38" s="36">
        <v>5</v>
      </c>
    </row>
    <row r="39" spans="1:22" x14ac:dyDescent="0.2">
      <c r="A39" s="1">
        <v>4</v>
      </c>
      <c r="B39" s="1" t="s">
        <v>42</v>
      </c>
      <c r="C39" s="28">
        <v>2.383</v>
      </c>
      <c r="D39" s="1">
        <v>19</v>
      </c>
      <c r="E39" s="1">
        <v>2</v>
      </c>
      <c r="F39" s="1">
        <v>1</v>
      </c>
      <c r="G39" s="11">
        <v>2.8214999999999999</v>
      </c>
      <c r="H39" s="12">
        <v>1.573</v>
      </c>
      <c r="I39" s="13">
        <v>2.8330000000000002</v>
      </c>
      <c r="J39" s="18">
        <f t="shared" si="1"/>
        <v>2.2392857142857139</v>
      </c>
      <c r="K39" s="18">
        <f t="shared" si="0"/>
        <v>6.0308135003896872</v>
      </c>
      <c r="L39" s="56">
        <v>4.9400000000000004</v>
      </c>
      <c r="M39" s="56">
        <v>5.68</v>
      </c>
      <c r="N39" s="1">
        <v>3.9</v>
      </c>
      <c r="O39" s="28">
        <v>2.2909999999999999</v>
      </c>
      <c r="P39" s="60">
        <v>14.9</v>
      </c>
      <c r="Q39" s="1">
        <v>74</v>
      </c>
      <c r="R39" s="60">
        <v>1</v>
      </c>
      <c r="S39" s="1">
        <v>83</v>
      </c>
      <c r="T39" s="1">
        <v>47</v>
      </c>
      <c r="U39" s="1">
        <v>34</v>
      </c>
      <c r="V39" s="36">
        <v>5</v>
      </c>
    </row>
    <row r="40" spans="1:22" x14ac:dyDescent="0.2">
      <c r="A40" s="1">
        <v>4</v>
      </c>
      <c r="B40" s="1" t="s">
        <v>42</v>
      </c>
      <c r="C40" s="28">
        <v>2.383</v>
      </c>
      <c r="D40" s="1">
        <v>19</v>
      </c>
      <c r="E40" s="1">
        <v>2</v>
      </c>
      <c r="F40" s="1">
        <v>2</v>
      </c>
      <c r="G40" s="11">
        <v>2.6960000000000002</v>
      </c>
      <c r="H40" s="12">
        <v>1.4984999999999999</v>
      </c>
      <c r="I40" s="13">
        <v>2.7195</v>
      </c>
      <c r="J40" s="18">
        <f t="shared" si="1"/>
        <v>2.2080262080262081</v>
      </c>
      <c r="K40" s="18">
        <f t="shared" si="0"/>
        <v>7.3425846401087629</v>
      </c>
      <c r="L40" s="56">
        <v>4.9400000000000004</v>
      </c>
      <c r="M40" s="56">
        <v>5.68</v>
      </c>
      <c r="N40" s="1">
        <v>3.9</v>
      </c>
      <c r="O40" s="28">
        <v>2.2909999999999999</v>
      </c>
      <c r="P40" s="60">
        <v>14.9</v>
      </c>
      <c r="Q40" s="1">
        <v>74</v>
      </c>
      <c r="R40" s="60">
        <v>1</v>
      </c>
      <c r="S40" s="1">
        <v>83</v>
      </c>
      <c r="T40" s="1">
        <v>47</v>
      </c>
      <c r="U40" s="1">
        <v>34</v>
      </c>
      <c r="V40" s="36">
        <v>5</v>
      </c>
    </row>
    <row r="41" spans="1:22" x14ac:dyDescent="0.2">
      <c r="A41" s="1">
        <v>4</v>
      </c>
      <c r="B41" s="1" t="s">
        <v>42</v>
      </c>
      <c r="C41" s="28">
        <v>2.383</v>
      </c>
      <c r="D41" s="1">
        <v>19</v>
      </c>
      <c r="E41" s="1">
        <v>2</v>
      </c>
      <c r="F41" s="1">
        <v>3</v>
      </c>
      <c r="G41" s="11">
        <v>2.7685</v>
      </c>
      <c r="H41" s="12">
        <v>1.5415000000000001</v>
      </c>
      <c r="I41" s="13">
        <v>2.786</v>
      </c>
      <c r="J41" s="18">
        <f t="shared" si="1"/>
        <v>2.2245881880273202</v>
      </c>
      <c r="K41" s="18">
        <f t="shared" si="0"/>
        <v>6.6475791847536598</v>
      </c>
      <c r="L41" s="56">
        <v>4.9400000000000004</v>
      </c>
      <c r="M41" s="56">
        <v>5.68</v>
      </c>
      <c r="N41" s="1">
        <v>3.9</v>
      </c>
      <c r="O41" s="28">
        <v>2.2909999999999999</v>
      </c>
      <c r="P41" s="60">
        <v>14.9</v>
      </c>
      <c r="Q41" s="1">
        <v>74</v>
      </c>
      <c r="R41" s="60">
        <v>1</v>
      </c>
      <c r="S41" s="1">
        <v>83</v>
      </c>
      <c r="T41" s="1">
        <v>47</v>
      </c>
      <c r="U41" s="1">
        <v>34</v>
      </c>
      <c r="V41" s="36">
        <v>5</v>
      </c>
    </row>
    <row r="42" spans="1:22" ht="16" thickBot="1" x14ac:dyDescent="0.25">
      <c r="A42" s="1">
        <v>4</v>
      </c>
      <c r="B42" s="1" t="s">
        <v>42</v>
      </c>
      <c r="C42" s="29">
        <v>2.383</v>
      </c>
      <c r="D42" s="2">
        <v>19</v>
      </c>
      <c r="E42" s="2">
        <v>2</v>
      </c>
      <c r="F42" s="2">
        <v>4</v>
      </c>
      <c r="G42" s="16">
        <v>2.778</v>
      </c>
      <c r="H42" s="10">
        <v>1.5489999999999999</v>
      </c>
      <c r="I42" s="17">
        <v>2.7989999999999999</v>
      </c>
      <c r="J42" s="20">
        <f t="shared" si="1"/>
        <v>2.2223999999999999</v>
      </c>
      <c r="K42" s="20">
        <f t="shared" si="0"/>
        <v>6.7394041124632871</v>
      </c>
      <c r="L42" s="57">
        <v>4.9400000000000004</v>
      </c>
      <c r="M42" s="57">
        <v>5.68</v>
      </c>
      <c r="N42" s="2">
        <v>3.9</v>
      </c>
      <c r="O42" s="29">
        <v>2.2909999999999999</v>
      </c>
      <c r="P42" s="61">
        <v>14.9</v>
      </c>
      <c r="Q42" s="2">
        <v>74</v>
      </c>
      <c r="R42" s="61">
        <v>1</v>
      </c>
      <c r="S42" s="2">
        <v>83</v>
      </c>
      <c r="T42" s="2">
        <v>47</v>
      </c>
      <c r="U42" s="2">
        <v>34</v>
      </c>
      <c r="V42" s="4">
        <v>5</v>
      </c>
    </row>
    <row r="43" spans="1:22" x14ac:dyDescent="0.2">
      <c r="A43" s="1">
        <v>5</v>
      </c>
      <c r="B43" s="1" t="s">
        <v>43</v>
      </c>
      <c r="C43" s="28">
        <v>2.3940000000000001</v>
      </c>
      <c r="D43" s="1">
        <v>12.5</v>
      </c>
      <c r="E43" s="26">
        <v>1</v>
      </c>
      <c r="F43" s="26">
        <v>0</v>
      </c>
      <c r="G43" s="21">
        <v>24.489000000000001</v>
      </c>
      <c r="H43" s="22">
        <v>13.62</v>
      </c>
      <c r="I43" s="23">
        <v>24.653400000000001</v>
      </c>
      <c r="J43" s="24">
        <f t="shared" si="1"/>
        <v>2.2195334167165148</v>
      </c>
      <c r="K43" s="24">
        <f t="shared" si="0"/>
        <v>7.287660120446338</v>
      </c>
      <c r="L43" s="56">
        <v>4.8899999999999997</v>
      </c>
      <c r="M43" s="56">
        <v>6</v>
      </c>
      <c r="N43" s="1">
        <v>3.9</v>
      </c>
      <c r="O43" s="28">
        <v>2.2999999999999998</v>
      </c>
      <c r="P43" s="60">
        <v>14.9</v>
      </c>
      <c r="Q43" s="1">
        <v>74</v>
      </c>
      <c r="R43" s="60">
        <v>1.2</v>
      </c>
      <c r="S43" s="1">
        <v>94</v>
      </c>
      <c r="T43" s="1">
        <v>53</v>
      </c>
      <c r="U43" s="1">
        <v>38</v>
      </c>
      <c r="V43" s="36">
        <v>5.8</v>
      </c>
    </row>
    <row r="44" spans="1:22" x14ac:dyDescent="0.2">
      <c r="A44" s="1">
        <v>5</v>
      </c>
      <c r="B44" s="1" t="s">
        <v>43</v>
      </c>
      <c r="C44" s="28">
        <v>2.3940000000000001</v>
      </c>
      <c r="D44" s="1">
        <v>12.5</v>
      </c>
      <c r="E44" s="1">
        <v>1</v>
      </c>
      <c r="F44" s="1">
        <v>1</v>
      </c>
      <c r="G44" s="11">
        <v>2.7705000000000002</v>
      </c>
      <c r="H44" s="12">
        <v>1.5425</v>
      </c>
      <c r="I44" s="13">
        <v>2.7934999999999999</v>
      </c>
      <c r="J44" s="18">
        <f t="shared" si="1"/>
        <v>2.2146282973621108</v>
      </c>
      <c r="K44" s="18">
        <f t="shared" si="0"/>
        <v>7.4925523240555236</v>
      </c>
      <c r="L44" s="56">
        <v>4.8899999999999997</v>
      </c>
      <c r="M44" s="56">
        <v>6</v>
      </c>
      <c r="N44" s="1">
        <v>3.9</v>
      </c>
      <c r="O44" s="28">
        <v>2.2999999999999998</v>
      </c>
      <c r="P44" s="60">
        <v>14.9</v>
      </c>
      <c r="Q44" s="1">
        <v>74</v>
      </c>
      <c r="R44" s="60">
        <v>1.2</v>
      </c>
      <c r="S44" s="1">
        <v>94</v>
      </c>
      <c r="T44" s="1">
        <v>53</v>
      </c>
      <c r="U44" s="1">
        <v>38</v>
      </c>
      <c r="V44" s="36">
        <v>5.8</v>
      </c>
    </row>
    <row r="45" spans="1:22" x14ac:dyDescent="0.2">
      <c r="A45" s="1">
        <v>5</v>
      </c>
      <c r="B45" s="1" t="s">
        <v>43</v>
      </c>
      <c r="C45" s="28">
        <v>2.3940000000000001</v>
      </c>
      <c r="D45" s="1">
        <v>12.5</v>
      </c>
      <c r="E45" s="1">
        <v>1</v>
      </c>
      <c r="F45" s="1">
        <v>2</v>
      </c>
      <c r="G45" s="11">
        <v>2.6945000000000001</v>
      </c>
      <c r="H45" s="12">
        <v>1.496</v>
      </c>
      <c r="I45" s="13">
        <v>2.7094999999999998</v>
      </c>
      <c r="J45" s="18">
        <f t="shared" si="1"/>
        <v>2.2204367531932432</v>
      </c>
      <c r="K45" s="18">
        <f t="shared" si="0"/>
        <v>7.2499267671995327</v>
      </c>
      <c r="L45" s="56">
        <v>4.8899999999999997</v>
      </c>
      <c r="M45" s="56">
        <v>6</v>
      </c>
      <c r="N45" s="1">
        <v>3.9</v>
      </c>
      <c r="O45" s="28">
        <v>2.2999999999999998</v>
      </c>
      <c r="P45" s="60">
        <v>14.9</v>
      </c>
      <c r="Q45" s="1">
        <v>74</v>
      </c>
      <c r="R45" s="60">
        <v>1.2</v>
      </c>
      <c r="S45" s="1">
        <v>94</v>
      </c>
      <c r="T45" s="1">
        <v>53</v>
      </c>
      <c r="U45" s="1">
        <v>38</v>
      </c>
      <c r="V45" s="36">
        <v>5.8</v>
      </c>
    </row>
    <row r="46" spans="1:22" x14ac:dyDescent="0.2">
      <c r="A46" s="1">
        <v>5</v>
      </c>
      <c r="B46" s="1" t="s">
        <v>43</v>
      </c>
      <c r="C46" s="28">
        <v>2.3940000000000001</v>
      </c>
      <c r="D46" s="1">
        <v>12.5</v>
      </c>
      <c r="E46" s="1">
        <v>1</v>
      </c>
      <c r="F46" s="1">
        <v>3</v>
      </c>
      <c r="G46" s="11">
        <v>2.7825000000000002</v>
      </c>
      <c r="H46" s="12">
        <v>1.554</v>
      </c>
      <c r="I46" s="13">
        <v>2.8090000000000002</v>
      </c>
      <c r="J46" s="18">
        <f t="shared" si="1"/>
        <v>2.2171314741035855</v>
      </c>
      <c r="K46" s="18">
        <f t="shared" si="0"/>
        <v>7.3879918920808141</v>
      </c>
      <c r="L46" s="56">
        <v>4.8899999999999997</v>
      </c>
      <c r="M46" s="56">
        <v>6</v>
      </c>
      <c r="N46" s="1">
        <v>3.9</v>
      </c>
      <c r="O46" s="28">
        <v>2.2999999999999998</v>
      </c>
      <c r="P46" s="60">
        <v>14.9</v>
      </c>
      <c r="Q46" s="1">
        <v>74</v>
      </c>
      <c r="R46" s="60">
        <v>1.2</v>
      </c>
      <c r="S46" s="1">
        <v>94</v>
      </c>
      <c r="T46" s="1">
        <v>53</v>
      </c>
      <c r="U46" s="1">
        <v>38</v>
      </c>
      <c r="V46" s="36">
        <v>5.8</v>
      </c>
    </row>
    <row r="47" spans="1:22" x14ac:dyDescent="0.2">
      <c r="A47" s="1">
        <v>5</v>
      </c>
      <c r="B47" s="1" t="s">
        <v>43</v>
      </c>
      <c r="C47" s="28">
        <v>2.3940000000000001</v>
      </c>
      <c r="D47" s="1">
        <v>12.5</v>
      </c>
      <c r="E47" s="5">
        <v>1</v>
      </c>
      <c r="F47" s="5">
        <v>4</v>
      </c>
      <c r="G47" s="14">
        <v>2.6974999999999998</v>
      </c>
      <c r="H47" s="9">
        <v>1.5085</v>
      </c>
      <c r="I47" s="15">
        <v>2.7240000000000002</v>
      </c>
      <c r="J47" s="19">
        <f t="shared" si="1"/>
        <v>2.2192513368983953</v>
      </c>
      <c r="K47" s="19">
        <f t="shared" si="0"/>
        <v>7.2994429031580932</v>
      </c>
      <c r="L47" s="58">
        <v>4.8899999999999997</v>
      </c>
      <c r="M47" s="58">
        <v>6</v>
      </c>
      <c r="N47" s="5">
        <v>3.9</v>
      </c>
      <c r="O47" s="53">
        <v>2.2999999999999998</v>
      </c>
      <c r="P47" s="62">
        <v>14.9</v>
      </c>
      <c r="Q47" s="5">
        <v>74</v>
      </c>
      <c r="R47" s="62">
        <v>1.2</v>
      </c>
      <c r="S47" s="5">
        <v>94</v>
      </c>
      <c r="T47" s="5">
        <v>53</v>
      </c>
      <c r="U47" s="5">
        <v>38</v>
      </c>
      <c r="V47" s="43">
        <v>5.8</v>
      </c>
    </row>
    <row r="48" spans="1:22" x14ac:dyDescent="0.2">
      <c r="A48" s="1">
        <v>5</v>
      </c>
      <c r="B48" s="1" t="s">
        <v>44</v>
      </c>
      <c r="C48" s="28">
        <v>2.3940000000000001</v>
      </c>
      <c r="D48" s="1">
        <v>12.5</v>
      </c>
      <c r="E48" s="26">
        <v>2</v>
      </c>
      <c r="F48" s="26">
        <v>0</v>
      </c>
      <c r="G48" s="21">
        <v>24.1282</v>
      </c>
      <c r="H48" s="22">
        <v>13.532</v>
      </c>
      <c r="I48" s="23">
        <v>24.425000000000001</v>
      </c>
      <c r="J48" s="24">
        <f t="shared" si="1"/>
        <v>2.2150188194253189</v>
      </c>
      <c r="K48" s="24">
        <f t="shared" si="0"/>
        <v>7.476239790086936</v>
      </c>
      <c r="L48" s="56">
        <v>4.8899999999999997</v>
      </c>
      <c r="M48" s="56">
        <v>6</v>
      </c>
      <c r="N48" s="1">
        <v>3.9</v>
      </c>
      <c r="O48" s="28">
        <v>2.2999999999999998</v>
      </c>
      <c r="P48" s="60">
        <v>14.9</v>
      </c>
      <c r="Q48" s="1">
        <v>74</v>
      </c>
      <c r="R48" s="60">
        <v>1.2</v>
      </c>
      <c r="S48" s="1">
        <v>94</v>
      </c>
      <c r="T48" s="1">
        <v>53</v>
      </c>
      <c r="U48" s="1">
        <v>38</v>
      </c>
      <c r="V48" s="36">
        <v>5.8</v>
      </c>
    </row>
    <row r="49" spans="1:22" x14ac:dyDescent="0.2">
      <c r="A49" s="1">
        <v>5</v>
      </c>
      <c r="B49" s="1" t="s">
        <v>44</v>
      </c>
      <c r="C49" s="28">
        <v>2.3940000000000001</v>
      </c>
      <c r="D49" s="1">
        <v>12.5</v>
      </c>
      <c r="E49" s="1">
        <v>2</v>
      </c>
      <c r="F49" s="1">
        <v>1</v>
      </c>
      <c r="G49" s="11">
        <v>2.8454999999999999</v>
      </c>
      <c r="H49" s="12">
        <v>1.5874999999999999</v>
      </c>
      <c r="I49" s="13">
        <v>2.8654999999999999</v>
      </c>
      <c r="J49" s="18">
        <f t="shared" si="1"/>
        <v>2.226525821596244</v>
      </c>
      <c r="K49" s="18">
        <f t="shared" si="0"/>
        <v>6.9955797161134541</v>
      </c>
      <c r="L49" s="56">
        <v>4.8899999999999997</v>
      </c>
      <c r="M49" s="56">
        <v>6</v>
      </c>
      <c r="N49" s="1">
        <v>3.9</v>
      </c>
      <c r="O49" s="28">
        <v>2.2999999999999998</v>
      </c>
      <c r="P49" s="60">
        <v>14.9</v>
      </c>
      <c r="Q49" s="1">
        <v>74</v>
      </c>
      <c r="R49" s="60">
        <v>1.2</v>
      </c>
      <c r="S49" s="1">
        <v>94</v>
      </c>
      <c r="T49" s="1">
        <v>53</v>
      </c>
      <c r="U49" s="1">
        <v>38</v>
      </c>
      <c r="V49" s="36">
        <v>5.8</v>
      </c>
    </row>
    <row r="50" spans="1:22" x14ac:dyDescent="0.2">
      <c r="A50" s="1">
        <v>5</v>
      </c>
      <c r="B50" s="1" t="s">
        <v>44</v>
      </c>
      <c r="C50" s="28">
        <v>2.3940000000000001</v>
      </c>
      <c r="D50" s="1">
        <v>12.5</v>
      </c>
      <c r="E50" s="1">
        <v>2</v>
      </c>
      <c r="F50" s="1">
        <v>2</v>
      </c>
      <c r="G50" s="11">
        <v>2.8285</v>
      </c>
      <c r="H50" s="12">
        <v>1.5765</v>
      </c>
      <c r="I50" s="13">
        <v>2.8530000000000002</v>
      </c>
      <c r="J50" s="18">
        <f t="shared" si="1"/>
        <v>2.2158245201723461</v>
      </c>
      <c r="K50" s="18">
        <f t="shared" si="0"/>
        <v>7.4425847881225522</v>
      </c>
      <c r="L50" s="56">
        <v>4.8899999999999997</v>
      </c>
      <c r="M50" s="56">
        <v>6</v>
      </c>
      <c r="N50" s="1">
        <v>3.9</v>
      </c>
      <c r="O50" s="28">
        <v>2.2999999999999998</v>
      </c>
      <c r="P50" s="60">
        <v>14.9</v>
      </c>
      <c r="Q50" s="1">
        <v>74</v>
      </c>
      <c r="R50" s="60">
        <v>1.2</v>
      </c>
      <c r="S50" s="1">
        <v>94</v>
      </c>
      <c r="T50" s="1">
        <v>53</v>
      </c>
      <c r="U50" s="1">
        <v>38</v>
      </c>
      <c r="V50" s="36">
        <v>5.8</v>
      </c>
    </row>
    <row r="51" spans="1:22" x14ac:dyDescent="0.2">
      <c r="A51" s="1">
        <v>5</v>
      </c>
      <c r="B51" s="1" t="s">
        <v>44</v>
      </c>
      <c r="C51" s="28">
        <v>2.3940000000000001</v>
      </c>
      <c r="D51" s="1">
        <v>12.5</v>
      </c>
      <c r="E51" s="1">
        <v>2</v>
      </c>
      <c r="F51" s="1">
        <v>3</v>
      </c>
      <c r="G51" s="11">
        <v>2.8479999999999999</v>
      </c>
      <c r="H51" s="12">
        <v>1.5940000000000001</v>
      </c>
      <c r="I51" s="13">
        <v>2.87</v>
      </c>
      <c r="J51" s="18">
        <f t="shared" si="1"/>
        <v>2.2319749216300937</v>
      </c>
      <c r="K51" s="18">
        <f t="shared" si="0"/>
        <v>6.767964844189911</v>
      </c>
      <c r="L51" s="56">
        <v>4.8899999999999997</v>
      </c>
      <c r="M51" s="56">
        <v>6</v>
      </c>
      <c r="N51" s="1">
        <v>3.9</v>
      </c>
      <c r="O51" s="28">
        <v>2.2999999999999998</v>
      </c>
      <c r="P51" s="60">
        <v>14.9</v>
      </c>
      <c r="Q51" s="1">
        <v>74</v>
      </c>
      <c r="R51" s="60">
        <v>1.2</v>
      </c>
      <c r="S51" s="1">
        <v>94</v>
      </c>
      <c r="T51" s="1">
        <v>53</v>
      </c>
      <c r="U51" s="1">
        <v>38</v>
      </c>
      <c r="V51" s="36">
        <v>5.8</v>
      </c>
    </row>
    <row r="52" spans="1:22" ht="16" thickBot="1" x14ac:dyDescent="0.25">
      <c r="A52" s="1">
        <v>5</v>
      </c>
      <c r="B52" s="1" t="s">
        <v>44</v>
      </c>
      <c r="C52" s="29">
        <v>2.3940000000000001</v>
      </c>
      <c r="D52" s="2">
        <v>12.5</v>
      </c>
      <c r="E52" s="2">
        <v>2</v>
      </c>
      <c r="F52" s="2">
        <v>4</v>
      </c>
      <c r="G52" s="16">
        <v>2.8</v>
      </c>
      <c r="H52" s="10">
        <v>1.5615000000000001</v>
      </c>
      <c r="I52" s="17">
        <v>2.82</v>
      </c>
      <c r="J52" s="20">
        <f t="shared" si="1"/>
        <v>2.2248708780294004</v>
      </c>
      <c r="K52" s="20">
        <f t="shared" si="0"/>
        <v>7.0647085200751807</v>
      </c>
      <c r="L52" s="57">
        <v>4.8899999999999997</v>
      </c>
      <c r="M52" s="57">
        <v>6</v>
      </c>
      <c r="N52" s="2">
        <v>3.9</v>
      </c>
      <c r="O52" s="29">
        <v>2.2999999999999998</v>
      </c>
      <c r="P52" s="61">
        <v>14.9</v>
      </c>
      <c r="Q52" s="2">
        <v>74</v>
      </c>
      <c r="R52" s="61">
        <v>1.2</v>
      </c>
      <c r="S52" s="2">
        <v>94</v>
      </c>
      <c r="T52" s="2">
        <v>53</v>
      </c>
      <c r="U52" s="2">
        <v>38</v>
      </c>
      <c r="V52" s="4">
        <v>5.8</v>
      </c>
    </row>
    <row r="53" spans="1:22" x14ac:dyDescent="0.2">
      <c r="A53" s="1">
        <v>6</v>
      </c>
      <c r="B53" s="1" t="s">
        <v>45</v>
      </c>
      <c r="C53" s="28">
        <v>2.39</v>
      </c>
      <c r="D53" s="1">
        <v>19</v>
      </c>
      <c r="E53" s="26">
        <v>1</v>
      </c>
      <c r="F53" s="26">
        <v>0</v>
      </c>
      <c r="G53" s="21">
        <v>24.475999999999999</v>
      </c>
      <c r="H53" s="22">
        <v>13.62</v>
      </c>
      <c r="I53" s="23">
        <v>24.7075</v>
      </c>
      <c r="J53" s="24">
        <f t="shared" si="1"/>
        <v>2.2075310033821869</v>
      </c>
      <c r="K53" s="24">
        <f t="shared" si="0"/>
        <v>7.6346860509545316</v>
      </c>
      <c r="L53" s="56">
        <v>4.9400000000000004</v>
      </c>
      <c r="M53" s="56">
        <v>5.96</v>
      </c>
      <c r="N53" s="1">
        <v>3.5</v>
      </c>
      <c r="O53" s="28">
        <v>2.3069999999999999</v>
      </c>
      <c r="P53" s="60">
        <v>14.6</v>
      </c>
      <c r="Q53" s="1">
        <v>76</v>
      </c>
      <c r="R53" s="60">
        <v>1.1000000000000001</v>
      </c>
      <c r="S53" s="1">
        <v>87</v>
      </c>
      <c r="T53" s="1">
        <v>47</v>
      </c>
      <c r="U53" s="1">
        <v>33</v>
      </c>
      <c r="V53" s="36">
        <v>5.4</v>
      </c>
    </row>
    <row r="54" spans="1:22" x14ac:dyDescent="0.2">
      <c r="A54" s="1">
        <v>6</v>
      </c>
      <c r="B54" s="1" t="s">
        <v>45</v>
      </c>
      <c r="C54" s="28">
        <v>2.39</v>
      </c>
      <c r="D54" s="1">
        <v>19</v>
      </c>
      <c r="E54" s="1">
        <v>1</v>
      </c>
      <c r="F54" s="1">
        <v>1</v>
      </c>
      <c r="G54" s="11">
        <v>2.7555000000000001</v>
      </c>
      <c r="H54" s="12">
        <v>1.5385</v>
      </c>
      <c r="I54" s="13">
        <v>2.7685</v>
      </c>
      <c r="J54" s="18">
        <f t="shared" si="1"/>
        <v>2.2402439024390244</v>
      </c>
      <c r="K54" s="18">
        <f t="shared" si="0"/>
        <v>6.2659455046433337</v>
      </c>
      <c r="L54" s="56">
        <v>4.9400000000000004</v>
      </c>
      <c r="M54" s="56">
        <v>5.96</v>
      </c>
      <c r="N54" s="1">
        <v>3.5</v>
      </c>
      <c r="O54" s="28">
        <v>2.3069999999999999</v>
      </c>
      <c r="P54" s="60">
        <v>14.6</v>
      </c>
      <c r="Q54" s="1">
        <v>76</v>
      </c>
      <c r="R54" s="60">
        <v>1.1000000000000001</v>
      </c>
      <c r="S54" s="1">
        <v>87</v>
      </c>
      <c r="T54" s="1">
        <v>47</v>
      </c>
      <c r="U54" s="1">
        <v>33</v>
      </c>
      <c r="V54" s="36">
        <v>5.4</v>
      </c>
    </row>
    <row r="55" spans="1:22" x14ac:dyDescent="0.2">
      <c r="A55" s="1">
        <v>6</v>
      </c>
      <c r="B55" s="1" t="s">
        <v>45</v>
      </c>
      <c r="C55" s="28">
        <v>2.39</v>
      </c>
      <c r="D55" s="1">
        <v>19</v>
      </c>
      <c r="E55" s="1">
        <v>1</v>
      </c>
      <c r="F55" s="1">
        <v>2</v>
      </c>
      <c r="G55" s="11">
        <v>2.7845</v>
      </c>
      <c r="H55" s="12">
        <v>1.5515000000000001</v>
      </c>
      <c r="I55" s="13">
        <v>2.7959999999999998</v>
      </c>
      <c r="J55" s="18">
        <f t="shared" si="1"/>
        <v>2.2374447569304947</v>
      </c>
      <c r="K55" s="18">
        <f t="shared" si="0"/>
        <v>6.3830645635776335</v>
      </c>
      <c r="L55" s="56">
        <v>4.9400000000000004</v>
      </c>
      <c r="M55" s="56">
        <v>5.96</v>
      </c>
      <c r="N55" s="1">
        <v>3.5</v>
      </c>
      <c r="O55" s="28">
        <v>2.3069999999999999</v>
      </c>
      <c r="P55" s="60">
        <v>14.6</v>
      </c>
      <c r="Q55" s="1">
        <v>76</v>
      </c>
      <c r="R55" s="60">
        <v>1.1000000000000001</v>
      </c>
      <c r="S55" s="1">
        <v>87</v>
      </c>
      <c r="T55" s="1">
        <v>47</v>
      </c>
      <c r="U55" s="1">
        <v>33</v>
      </c>
      <c r="V55" s="36">
        <v>5.4</v>
      </c>
    </row>
    <row r="56" spans="1:22" x14ac:dyDescent="0.2">
      <c r="A56" s="1">
        <v>6</v>
      </c>
      <c r="B56" s="1" t="s">
        <v>45</v>
      </c>
      <c r="C56" s="28">
        <v>2.39</v>
      </c>
      <c r="D56" s="1">
        <v>19</v>
      </c>
      <c r="E56" s="1">
        <v>1</v>
      </c>
      <c r="F56" s="1">
        <v>3</v>
      </c>
      <c r="G56" s="11">
        <v>2.7839999999999998</v>
      </c>
      <c r="H56" s="12">
        <v>1.554</v>
      </c>
      <c r="I56" s="13">
        <v>2.7985000000000002</v>
      </c>
      <c r="J56" s="18">
        <f t="shared" si="1"/>
        <v>2.2370429891522696</v>
      </c>
      <c r="K56" s="18">
        <f t="shared" si="0"/>
        <v>6.399874930867389</v>
      </c>
      <c r="L56" s="56">
        <v>4.9400000000000004</v>
      </c>
      <c r="M56" s="56">
        <v>5.96</v>
      </c>
      <c r="N56" s="1">
        <v>3.5</v>
      </c>
      <c r="O56" s="28">
        <v>2.3069999999999999</v>
      </c>
      <c r="P56" s="60">
        <v>14.6</v>
      </c>
      <c r="Q56" s="1">
        <v>76</v>
      </c>
      <c r="R56" s="60">
        <v>1.1000000000000001</v>
      </c>
      <c r="S56" s="1">
        <v>87</v>
      </c>
      <c r="T56" s="1">
        <v>47</v>
      </c>
      <c r="U56" s="1">
        <v>33</v>
      </c>
      <c r="V56" s="36">
        <v>5.4</v>
      </c>
    </row>
    <row r="57" spans="1:22" x14ac:dyDescent="0.2">
      <c r="A57" s="1">
        <v>6</v>
      </c>
      <c r="B57" s="1" t="s">
        <v>45</v>
      </c>
      <c r="C57" s="28">
        <v>2.39</v>
      </c>
      <c r="D57" s="1">
        <v>19</v>
      </c>
      <c r="E57" s="5">
        <v>1</v>
      </c>
      <c r="F57" s="5">
        <v>4</v>
      </c>
      <c r="G57" s="14">
        <v>2.7610000000000001</v>
      </c>
      <c r="H57" s="9">
        <v>1.5369999999999999</v>
      </c>
      <c r="I57" s="15">
        <v>2.7715000000000001</v>
      </c>
      <c r="J57" s="19">
        <f t="shared" si="1"/>
        <v>2.236533009315512</v>
      </c>
      <c r="K57" s="19">
        <f t="shared" si="0"/>
        <v>6.421212999350967</v>
      </c>
      <c r="L57" s="58">
        <v>4.9400000000000004</v>
      </c>
      <c r="M57" s="58">
        <v>5.96</v>
      </c>
      <c r="N57" s="5">
        <v>3.5</v>
      </c>
      <c r="O57" s="53">
        <v>2.3069999999999999</v>
      </c>
      <c r="P57" s="62">
        <v>14.6</v>
      </c>
      <c r="Q57" s="5">
        <v>76</v>
      </c>
      <c r="R57" s="62">
        <v>1.1000000000000001</v>
      </c>
      <c r="S57" s="5">
        <v>87</v>
      </c>
      <c r="T57" s="5">
        <v>47</v>
      </c>
      <c r="U57" s="5">
        <v>33</v>
      </c>
      <c r="V57" s="43">
        <v>5.4</v>
      </c>
    </row>
    <row r="58" spans="1:22" x14ac:dyDescent="0.2">
      <c r="A58" s="1">
        <v>6</v>
      </c>
      <c r="B58" s="1" t="s">
        <v>46</v>
      </c>
      <c r="C58" s="28">
        <v>2.39</v>
      </c>
      <c r="D58" s="1">
        <v>19</v>
      </c>
      <c r="E58" s="26">
        <v>2</v>
      </c>
      <c r="F58" s="26">
        <v>0</v>
      </c>
      <c r="G58" s="21">
        <v>24.117000000000001</v>
      </c>
      <c r="H58" s="22">
        <v>13.532</v>
      </c>
      <c r="I58" s="23">
        <v>24.414999999999999</v>
      </c>
      <c r="J58" s="24">
        <f t="shared" si="1"/>
        <v>2.2160249931085181</v>
      </c>
      <c r="K58" s="24">
        <f t="shared" si="0"/>
        <v>7.2792889912754006</v>
      </c>
      <c r="L58" s="56">
        <v>4.9400000000000004</v>
      </c>
      <c r="M58" s="56">
        <v>5.96</v>
      </c>
      <c r="N58" s="1">
        <v>3.5</v>
      </c>
      <c r="O58" s="28">
        <v>2.3069999999999999</v>
      </c>
      <c r="P58" s="60">
        <v>14.6</v>
      </c>
      <c r="Q58" s="1">
        <v>76</v>
      </c>
      <c r="R58" s="60">
        <v>1.1000000000000001</v>
      </c>
      <c r="S58" s="1">
        <v>87</v>
      </c>
      <c r="T58" s="1">
        <v>47</v>
      </c>
      <c r="U58" s="1">
        <v>33</v>
      </c>
      <c r="V58" s="36">
        <v>5.4</v>
      </c>
    </row>
    <row r="59" spans="1:22" x14ac:dyDescent="0.2">
      <c r="A59" s="1">
        <v>6</v>
      </c>
      <c r="B59" s="1" t="s">
        <v>46</v>
      </c>
      <c r="C59" s="28">
        <v>2.39</v>
      </c>
      <c r="D59" s="1">
        <v>19</v>
      </c>
      <c r="E59" s="1">
        <v>2</v>
      </c>
      <c r="F59" s="1">
        <v>1</v>
      </c>
      <c r="G59" s="11">
        <v>2.7825000000000002</v>
      </c>
      <c r="H59" s="12">
        <v>1.5535000000000001</v>
      </c>
      <c r="I59" s="13">
        <v>2.7934999999999999</v>
      </c>
      <c r="J59" s="18">
        <f t="shared" si="1"/>
        <v>2.2439516129032264</v>
      </c>
      <c r="K59" s="18">
        <f t="shared" si="0"/>
        <v>6.110811175597231</v>
      </c>
      <c r="L59" s="56">
        <v>4.9400000000000004</v>
      </c>
      <c r="M59" s="56">
        <v>5.96</v>
      </c>
      <c r="N59" s="1">
        <v>3.5</v>
      </c>
      <c r="O59" s="28">
        <v>2.3069999999999999</v>
      </c>
      <c r="P59" s="60">
        <v>14.6</v>
      </c>
      <c r="Q59" s="1">
        <v>76</v>
      </c>
      <c r="R59" s="60">
        <v>1.1000000000000001</v>
      </c>
      <c r="S59" s="1">
        <v>87</v>
      </c>
      <c r="T59" s="1">
        <v>47</v>
      </c>
      <c r="U59" s="1">
        <v>33</v>
      </c>
      <c r="V59" s="36">
        <v>5.4</v>
      </c>
    </row>
    <row r="60" spans="1:22" x14ac:dyDescent="0.2">
      <c r="A60" s="1">
        <v>6</v>
      </c>
      <c r="B60" s="1" t="s">
        <v>46</v>
      </c>
      <c r="C60" s="28">
        <v>2.39</v>
      </c>
      <c r="D60" s="1">
        <v>19</v>
      </c>
      <c r="E60" s="1">
        <v>2</v>
      </c>
      <c r="F60" s="1">
        <v>2</v>
      </c>
      <c r="G60" s="11">
        <v>2.5695000000000001</v>
      </c>
      <c r="H60" s="12">
        <v>1.4259999999999999</v>
      </c>
      <c r="I60" s="13">
        <v>2.5794999999999999</v>
      </c>
      <c r="J60" s="18">
        <f t="shared" si="1"/>
        <v>2.2275682704811444</v>
      </c>
      <c r="K60" s="18">
        <f t="shared" si="0"/>
        <v>6.7963066744291094</v>
      </c>
      <c r="L60" s="56">
        <v>4.9400000000000004</v>
      </c>
      <c r="M60" s="56">
        <v>5.96</v>
      </c>
      <c r="N60" s="1">
        <v>3.5</v>
      </c>
      <c r="O60" s="28">
        <v>2.3069999999999999</v>
      </c>
      <c r="P60" s="60">
        <v>14.6</v>
      </c>
      <c r="Q60" s="1">
        <v>76</v>
      </c>
      <c r="R60" s="60">
        <v>1.1000000000000001</v>
      </c>
      <c r="S60" s="1">
        <v>87</v>
      </c>
      <c r="T60" s="1">
        <v>47</v>
      </c>
      <c r="U60" s="1">
        <v>33</v>
      </c>
      <c r="V60" s="36">
        <v>5.4</v>
      </c>
    </row>
    <row r="61" spans="1:22" x14ac:dyDescent="0.2">
      <c r="A61" s="1">
        <v>6</v>
      </c>
      <c r="B61" s="1" t="s">
        <v>46</v>
      </c>
      <c r="C61" s="28">
        <v>2.39</v>
      </c>
      <c r="D61" s="1">
        <v>19</v>
      </c>
      <c r="E61" s="1">
        <v>2</v>
      </c>
      <c r="F61" s="1">
        <v>3</v>
      </c>
      <c r="G61" s="11">
        <v>2.6615000000000002</v>
      </c>
      <c r="H61" s="12">
        <v>1.4804999999999999</v>
      </c>
      <c r="I61" s="13">
        <v>2.6735000000000002</v>
      </c>
      <c r="J61" s="18">
        <f t="shared" si="1"/>
        <v>2.2309304274937132</v>
      </c>
      <c r="K61" s="18">
        <f t="shared" si="0"/>
        <v>6.6556306487986161</v>
      </c>
      <c r="L61" s="56">
        <v>4.9400000000000004</v>
      </c>
      <c r="M61" s="56">
        <v>5.96</v>
      </c>
      <c r="N61" s="1">
        <v>3.5</v>
      </c>
      <c r="O61" s="28">
        <v>2.3069999999999999</v>
      </c>
      <c r="P61" s="60">
        <v>14.6</v>
      </c>
      <c r="Q61" s="1">
        <v>76</v>
      </c>
      <c r="R61" s="60">
        <v>1.1000000000000001</v>
      </c>
      <c r="S61" s="1">
        <v>87</v>
      </c>
      <c r="T61" s="1">
        <v>47</v>
      </c>
      <c r="U61" s="1">
        <v>33</v>
      </c>
      <c r="V61" s="36">
        <v>5.4</v>
      </c>
    </row>
    <row r="62" spans="1:22" ht="16" thickBot="1" x14ac:dyDescent="0.25">
      <c r="A62" s="1">
        <v>6</v>
      </c>
      <c r="B62" s="1" t="s">
        <v>46</v>
      </c>
      <c r="C62" s="29">
        <v>2.39</v>
      </c>
      <c r="D62" s="2">
        <v>19</v>
      </c>
      <c r="E62" s="2">
        <v>2</v>
      </c>
      <c r="F62" s="2">
        <v>4</v>
      </c>
      <c r="G62" s="16">
        <v>2.6985000000000001</v>
      </c>
      <c r="H62" s="10">
        <v>1.4970000000000001</v>
      </c>
      <c r="I62" s="17">
        <v>2.7115</v>
      </c>
      <c r="J62" s="20">
        <f t="shared" si="1"/>
        <v>2.2219020172910664</v>
      </c>
      <c r="K62" s="20">
        <f t="shared" si="0"/>
        <v>7.0333883978633382</v>
      </c>
      <c r="L62" s="57">
        <v>4.9400000000000004</v>
      </c>
      <c r="M62" s="57">
        <v>5.96</v>
      </c>
      <c r="N62" s="2">
        <v>3.5</v>
      </c>
      <c r="O62" s="29">
        <v>2.3069999999999999</v>
      </c>
      <c r="P62" s="61">
        <v>14.6</v>
      </c>
      <c r="Q62" s="2">
        <v>76</v>
      </c>
      <c r="R62" s="61">
        <v>1.1000000000000001</v>
      </c>
      <c r="S62" s="2">
        <v>87</v>
      </c>
      <c r="T62" s="2">
        <v>47</v>
      </c>
      <c r="U62" s="2">
        <v>33</v>
      </c>
      <c r="V62" s="4">
        <v>5.4</v>
      </c>
    </row>
    <row r="63" spans="1:22" x14ac:dyDescent="0.2">
      <c r="A63" s="1">
        <v>7</v>
      </c>
      <c r="B63" s="1" t="s">
        <v>47</v>
      </c>
      <c r="C63" s="28">
        <v>2.38</v>
      </c>
      <c r="D63" s="1">
        <v>12.5</v>
      </c>
      <c r="E63" s="26">
        <v>1</v>
      </c>
      <c r="F63" s="26">
        <v>0</v>
      </c>
      <c r="G63" s="21">
        <v>24.364999999999998</v>
      </c>
      <c r="H63" s="22">
        <v>13.564</v>
      </c>
      <c r="I63" s="23">
        <v>24.574999999999999</v>
      </c>
      <c r="J63" s="24">
        <f t="shared" si="1"/>
        <v>2.2127872127872128</v>
      </c>
      <c r="K63" s="24">
        <f t="shared" si="0"/>
        <v>7.0257473618818072</v>
      </c>
      <c r="L63" s="56">
        <v>5.05</v>
      </c>
      <c r="M63" s="56">
        <v>5.9</v>
      </c>
      <c r="N63" s="1">
        <v>3.1</v>
      </c>
      <c r="O63" s="28">
        <v>2.306</v>
      </c>
      <c r="P63" s="60">
        <v>14.5</v>
      </c>
      <c r="Q63" s="1">
        <v>78</v>
      </c>
      <c r="R63" s="60">
        <v>1.2</v>
      </c>
      <c r="S63" s="1">
        <v>92</v>
      </c>
      <c r="T63" s="1">
        <v>55</v>
      </c>
      <c r="U63" s="1">
        <v>38</v>
      </c>
      <c r="V63" s="36">
        <v>5.8</v>
      </c>
    </row>
    <row r="64" spans="1:22" x14ac:dyDescent="0.2">
      <c r="A64" s="1">
        <v>7</v>
      </c>
      <c r="B64" s="1" t="s">
        <v>47</v>
      </c>
      <c r="C64" s="28">
        <v>2.38</v>
      </c>
      <c r="D64" s="1">
        <v>12.5</v>
      </c>
      <c r="E64" s="1">
        <v>1</v>
      </c>
      <c r="F64" s="1">
        <v>1</v>
      </c>
      <c r="G64" s="11">
        <v>2.798</v>
      </c>
      <c r="H64" s="12">
        <v>1.5694999999999999</v>
      </c>
      <c r="I64" s="13">
        <v>2.827</v>
      </c>
      <c r="J64" s="18">
        <f t="shared" si="1"/>
        <v>2.2250497017892643</v>
      </c>
      <c r="K64" s="18">
        <f t="shared" si="0"/>
        <v>6.5105167315435146</v>
      </c>
      <c r="L64" s="56">
        <v>5.05</v>
      </c>
      <c r="M64" s="56">
        <v>5.9</v>
      </c>
      <c r="N64" s="1">
        <v>3.1</v>
      </c>
      <c r="O64" s="28">
        <v>2.306</v>
      </c>
      <c r="P64" s="60">
        <v>14.5</v>
      </c>
      <c r="Q64" s="1">
        <v>78</v>
      </c>
      <c r="R64" s="60">
        <v>1.2</v>
      </c>
      <c r="S64" s="1">
        <v>92</v>
      </c>
      <c r="T64" s="1">
        <v>55</v>
      </c>
      <c r="U64" s="1">
        <v>38</v>
      </c>
      <c r="V64" s="36">
        <v>5.8</v>
      </c>
    </row>
    <row r="65" spans="1:22" x14ac:dyDescent="0.2">
      <c r="A65" s="1">
        <v>7</v>
      </c>
      <c r="B65" s="1" t="s">
        <v>47</v>
      </c>
      <c r="C65" s="28">
        <v>2.38</v>
      </c>
      <c r="D65" s="1">
        <v>12.5</v>
      </c>
      <c r="E65" s="1">
        <v>1</v>
      </c>
      <c r="F65" s="1">
        <v>2</v>
      </c>
      <c r="G65" s="11">
        <v>2.7069999999999999</v>
      </c>
      <c r="H65" s="12">
        <v>1.5105</v>
      </c>
      <c r="I65" s="13">
        <v>2.7305000000000001</v>
      </c>
      <c r="J65" s="18">
        <f t="shared" si="1"/>
        <v>2.2188524590163929</v>
      </c>
      <c r="K65" s="18">
        <f t="shared" si="0"/>
        <v>6.7709050833448252</v>
      </c>
      <c r="L65" s="56">
        <v>5.05</v>
      </c>
      <c r="M65" s="56">
        <v>5.9</v>
      </c>
      <c r="N65" s="1">
        <v>3.1</v>
      </c>
      <c r="O65" s="28">
        <v>2.306</v>
      </c>
      <c r="P65" s="60">
        <v>14.5</v>
      </c>
      <c r="Q65" s="1">
        <v>78</v>
      </c>
      <c r="R65" s="60">
        <v>1.2</v>
      </c>
      <c r="S65" s="1">
        <v>92</v>
      </c>
      <c r="T65" s="1">
        <v>55</v>
      </c>
      <c r="U65" s="1">
        <v>38</v>
      </c>
      <c r="V65" s="36">
        <v>5.8</v>
      </c>
    </row>
    <row r="66" spans="1:22" x14ac:dyDescent="0.2">
      <c r="A66" s="1">
        <v>7</v>
      </c>
      <c r="B66" s="1" t="s">
        <v>47</v>
      </c>
      <c r="C66" s="28">
        <v>2.38</v>
      </c>
      <c r="D66" s="1">
        <v>12.5</v>
      </c>
      <c r="E66" s="1">
        <v>1</v>
      </c>
      <c r="F66" s="1">
        <v>3</v>
      </c>
      <c r="G66" s="11">
        <v>2.7789999999999999</v>
      </c>
      <c r="H66" s="12">
        <v>1.5509999999999999</v>
      </c>
      <c r="I66" s="13">
        <v>2.8109999999999999</v>
      </c>
      <c r="J66" s="18">
        <f t="shared" si="1"/>
        <v>2.2055555555555553</v>
      </c>
      <c r="K66" s="18">
        <f t="shared" si="0"/>
        <v>7.329598506069102</v>
      </c>
      <c r="L66" s="56">
        <v>5.05</v>
      </c>
      <c r="M66" s="56">
        <v>5.9</v>
      </c>
      <c r="N66" s="1">
        <v>3.1</v>
      </c>
      <c r="O66" s="28">
        <v>2.306</v>
      </c>
      <c r="P66" s="60">
        <v>14.5</v>
      </c>
      <c r="Q66" s="1">
        <v>78</v>
      </c>
      <c r="R66" s="60">
        <v>1.2</v>
      </c>
      <c r="S66" s="1">
        <v>92</v>
      </c>
      <c r="T66" s="1">
        <v>55</v>
      </c>
      <c r="U66" s="1">
        <v>38</v>
      </c>
      <c r="V66" s="36">
        <v>5.8</v>
      </c>
    </row>
    <row r="67" spans="1:22" x14ac:dyDescent="0.2">
      <c r="A67" s="1">
        <v>7</v>
      </c>
      <c r="B67" s="1" t="s">
        <v>47</v>
      </c>
      <c r="C67" s="28">
        <v>2.38</v>
      </c>
      <c r="D67" s="1">
        <v>12.5</v>
      </c>
      <c r="E67" s="5">
        <v>1</v>
      </c>
      <c r="F67" s="5">
        <v>4</v>
      </c>
      <c r="G67" s="14">
        <v>2.8085</v>
      </c>
      <c r="H67" s="9">
        <v>1.5545</v>
      </c>
      <c r="I67" s="15">
        <v>2.8210000000000002</v>
      </c>
      <c r="J67" s="19">
        <f t="shared" si="1"/>
        <v>2.2175286221871295</v>
      </c>
      <c r="K67" s="19">
        <f t="shared" ref="K67:K130" si="2">+IF(G67=0,"",(1-(J67/C67))*100)</f>
        <v>6.8265284795323673</v>
      </c>
      <c r="L67" s="58">
        <v>5.05</v>
      </c>
      <c r="M67" s="58">
        <v>5.9</v>
      </c>
      <c r="N67" s="5">
        <v>3.1</v>
      </c>
      <c r="O67" s="53">
        <v>2.306</v>
      </c>
      <c r="P67" s="62">
        <v>14.5</v>
      </c>
      <c r="Q67" s="5">
        <v>78</v>
      </c>
      <c r="R67" s="62">
        <v>1.2</v>
      </c>
      <c r="S67" s="5">
        <v>92</v>
      </c>
      <c r="T67" s="5">
        <v>55</v>
      </c>
      <c r="U67" s="5">
        <v>38</v>
      </c>
      <c r="V67" s="43">
        <v>5.8</v>
      </c>
    </row>
    <row r="68" spans="1:22" x14ac:dyDescent="0.2">
      <c r="A68" s="1">
        <v>7</v>
      </c>
      <c r="B68" s="1" t="s">
        <v>48</v>
      </c>
      <c r="C68" s="28">
        <v>2.38</v>
      </c>
      <c r="D68" s="1">
        <v>12.5</v>
      </c>
      <c r="E68" s="26">
        <v>2</v>
      </c>
      <c r="F68" s="26">
        <v>0</v>
      </c>
      <c r="G68" s="21">
        <v>24.490500000000001</v>
      </c>
      <c r="H68" s="22">
        <v>13.6075</v>
      </c>
      <c r="I68" s="23">
        <v>24.608899999999998</v>
      </c>
      <c r="J68" s="24">
        <f t="shared" si="1"/>
        <v>2.2261257658116245</v>
      </c>
      <c r="K68" s="24">
        <f t="shared" si="2"/>
        <v>6.4653039574947613</v>
      </c>
      <c r="L68" s="56">
        <v>5.05</v>
      </c>
      <c r="M68" s="56">
        <v>5.9</v>
      </c>
      <c r="N68" s="1">
        <v>3.1</v>
      </c>
      <c r="O68" s="28">
        <v>2.306</v>
      </c>
      <c r="P68" s="60">
        <v>14.5</v>
      </c>
      <c r="Q68" s="1">
        <v>78</v>
      </c>
      <c r="R68" s="60">
        <v>1.2</v>
      </c>
      <c r="S68" s="1">
        <v>92</v>
      </c>
      <c r="T68" s="1">
        <v>55</v>
      </c>
      <c r="U68" s="1">
        <v>38</v>
      </c>
      <c r="V68" s="36">
        <v>5.8</v>
      </c>
    </row>
    <row r="69" spans="1:22" x14ac:dyDescent="0.2">
      <c r="A69" s="1">
        <v>7</v>
      </c>
      <c r="B69" s="1" t="s">
        <v>48</v>
      </c>
      <c r="C69" s="28">
        <v>2.38</v>
      </c>
      <c r="D69" s="1">
        <v>12.5</v>
      </c>
      <c r="E69" s="1">
        <v>2</v>
      </c>
      <c r="F69" s="1">
        <v>1</v>
      </c>
      <c r="G69" s="11">
        <v>2.7770000000000001</v>
      </c>
      <c r="H69" s="12">
        <v>1.5595000000000001</v>
      </c>
      <c r="I69" s="13">
        <v>2.806</v>
      </c>
      <c r="J69" s="18">
        <f t="shared" ref="J69:J132" si="3">+IF(G69=0,"",G69/(I69-H69))</f>
        <v>2.2278379462494988</v>
      </c>
      <c r="K69" s="18">
        <f t="shared" si="2"/>
        <v>6.3933636029622321</v>
      </c>
      <c r="L69" s="56">
        <v>5.05</v>
      </c>
      <c r="M69" s="56">
        <v>5.9</v>
      </c>
      <c r="N69" s="1">
        <v>3.1</v>
      </c>
      <c r="O69" s="28">
        <v>2.306</v>
      </c>
      <c r="P69" s="60">
        <v>14.5</v>
      </c>
      <c r="Q69" s="1">
        <v>78</v>
      </c>
      <c r="R69" s="60">
        <v>1.2</v>
      </c>
      <c r="S69" s="1">
        <v>92</v>
      </c>
      <c r="T69" s="1">
        <v>55</v>
      </c>
      <c r="U69" s="1">
        <v>38</v>
      </c>
      <c r="V69" s="36">
        <v>5.8</v>
      </c>
    </row>
    <row r="70" spans="1:22" x14ac:dyDescent="0.2">
      <c r="A70" s="1">
        <v>7</v>
      </c>
      <c r="B70" s="1" t="s">
        <v>48</v>
      </c>
      <c r="C70" s="28">
        <v>2.38</v>
      </c>
      <c r="D70" s="1">
        <v>12.5</v>
      </c>
      <c r="E70" s="1">
        <v>2</v>
      </c>
      <c r="F70" s="1">
        <v>2</v>
      </c>
      <c r="G70" s="11">
        <v>2.7469999999999999</v>
      </c>
      <c r="H70" s="12">
        <v>1.5409999999999999</v>
      </c>
      <c r="I70" s="13">
        <v>2.7845</v>
      </c>
      <c r="J70" s="18">
        <f t="shared" si="3"/>
        <v>2.2090872537193404</v>
      </c>
      <c r="K70" s="18">
        <f t="shared" si="2"/>
        <v>7.1812078269184676</v>
      </c>
      <c r="L70" s="56">
        <v>5.05</v>
      </c>
      <c r="M70" s="56">
        <v>5.9</v>
      </c>
      <c r="N70" s="1">
        <v>3.1</v>
      </c>
      <c r="O70" s="28">
        <v>2.306</v>
      </c>
      <c r="P70" s="60">
        <v>14.5</v>
      </c>
      <c r="Q70" s="1">
        <v>78</v>
      </c>
      <c r="R70" s="60">
        <v>1.2</v>
      </c>
      <c r="S70" s="1">
        <v>92</v>
      </c>
      <c r="T70" s="1">
        <v>55</v>
      </c>
      <c r="U70" s="1">
        <v>38</v>
      </c>
      <c r="V70" s="36">
        <v>5.8</v>
      </c>
    </row>
    <row r="71" spans="1:22" x14ac:dyDescent="0.2">
      <c r="A71" s="1">
        <v>7</v>
      </c>
      <c r="B71" s="1" t="s">
        <v>48</v>
      </c>
      <c r="C71" s="28">
        <v>2.38</v>
      </c>
      <c r="D71" s="1">
        <v>12.5</v>
      </c>
      <c r="E71" s="1">
        <v>2</v>
      </c>
      <c r="F71" s="1">
        <v>3</v>
      </c>
      <c r="G71" s="11">
        <v>2.8105000000000002</v>
      </c>
      <c r="H71" s="12">
        <v>1.5674999999999999</v>
      </c>
      <c r="I71" s="13">
        <v>2.8294999999999999</v>
      </c>
      <c r="J71" s="18">
        <f t="shared" si="3"/>
        <v>2.2270206022187007</v>
      </c>
      <c r="K71" s="18">
        <f t="shared" si="2"/>
        <v>6.4277057891302221</v>
      </c>
      <c r="L71" s="56">
        <v>5.05</v>
      </c>
      <c r="M71" s="56">
        <v>5.9</v>
      </c>
      <c r="N71" s="1">
        <v>3.1</v>
      </c>
      <c r="O71" s="28">
        <v>2.306</v>
      </c>
      <c r="P71" s="60">
        <v>14.5</v>
      </c>
      <c r="Q71" s="1">
        <v>78</v>
      </c>
      <c r="R71" s="60">
        <v>1.2</v>
      </c>
      <c r="S71" s="1">
        <v>92</v>
      </c>
      <c r="T71" s="1">
        <v>55</v>
      </c>
      <c r="U71" s="1">
        <v>38</v>
      </c>
      <c r="V71" s="36">
        <v>5.8</v>
      </c>
    </row>
    <row r="72" spans="1:22" ht="16" thickBot="1" x14ac:dyDescent="0.25">
      <c r="A72" s="1">
        <v>7</v>
      </c>
      <c r="B72" s="1" t="s">
        <v>48</v>
      </c>
      <c r="C72" s="29">
        <v>2.38</v>
      </c>
      <c r="D72" s="2">
        <v>12.5</v>
      </c>
      <c r="E72" s="2">
        <v>2</v>
      </c>
      <c r="F72" s="2">
        <v>4</v>
      </c>
      <c r="G72" s="16">
        <v>2.7694999999999999</v>
      </c>
      <c r="H72" s="10">
        <v>1.5455000000000001</v>
      </c>
      <c r="I72" s="17">
        <v>2.7919999999999998</v>
      </c>
      <c r="J72" s="20">
        <f t="shared" si="3"/>
        <v>2.2218210990774172</v>
      </c>
      <c r="K72" s="20">
        <f t="shared" si="2"/>
        <v>6.646172307671538</v>
      </c>
      <c r="L72" s="57">
        <v>5.05</v>
      </c>
      <c r="M72" s="57">
        <v>5.9</v>
      </c>
      <c r="N72" s="2">
        <v>3.1</v>
      </c>
      <c r="O72" s="29">
        <v>2.306</v>
      </c>
      <c r="P72" s="61">
        <v>14.5</v>
      </c>
      <c r="Q72" s="2">
        <v>78</v>
      </c>
      <c r="R72" s="61">
        <v>1.2</v>
      </c>
      <c r="S72" s="2">
        <v>92</v>
      </c>
      <c r="T72" s="2">
        <v>55</v>
      </c>
      <c r="U72" s="2">
        <v>38</v>
      </c>
      <c r="V72" s="4">
        <v>5.8</v>
      </c>
    </row>
    <row r="73" spans="1:22" x14ac:dyDescent="0.2">
      <c r="A73" s="1">
        <v>8</v>
      </c>
      <c r="B73" s="1" t="s">
        <v>49</v>
      </c>
      <c r="C73" s="28">
        <v>2.375</v>
      </c>
      <c r="D73" s="1">
        <v>19</v>
      </c>
      <c r="E73" s="26">
        <v>1</v>
      </c>
      <c r="F73" s="26">
        <v>0</v>
      </c>
      <c r="G73" s="21">
        <v>24.139500000000002</v>
      </c>
      <c r="H73" s="22">
        <v>13.436999999999999</v>
      </c>
      <c r="I73" s="23">
        <v>24.428999999999998</v>
      </c>
      <c r="J73" s="24">
        <f t="shared" si="3"/>
        <v>2.1960971615720526</v>
      </c>
      <c r="K73" s="24">
        <f t="shared" si="2"/>
        <v>7.5327510917030498</v>
      </c>
      <c r="L73" s="56">
        <v>5.24</v>
      </c>
      <c r="M73" s="56">
        <v>6.14</v>
      </c>
      <c r="N73" s="1">
        <v>3.2</v>
      </c>
      <c r="O73" s="28">
        <v>2.2989999999999999</v>
      </c>
      <c r="P73" s="60">
        <v>15</v>
      </c>
      <c r="Q73" s="1">
        <v>78</v>
      </c>
      <c r="R73" s="60">
        <v>1</v>
      </c>
      <c r="S73" s="1">
        <v>88</v>
      </c>
      <c r="T73" s="1">
        <v>47</v>
      </c>
      <c r="U73" s="1">
        <v>32</v>
      </c>
      <c r="V73" s="36">
        <v>5</v>
      </c>
    </row>
    <row r="74" spans="1:22" x14ac:dyDescent="0.2">
      <c r="A74" s="1">
        <v>8</v>
      </c>
      <c r="B74" s="1" t="s">
        <v>49</v>
      </c>
      <c r="C74" s="28">
        <v>2.375</v>
      </c>
      <c r="D74" s="1">
        <v>19</v>
      </c>
      <c r="E74" s="1">
        <v>1</v>
      </c>
      <c r="F74" s="1">
        <v>1</v>
      </c>
      <c r="G74" s="11">
        <v>2.8294999999999999</v>
      </c>
      <c r="H74" s="12">
        <v>1.5854999999999999</v>
      </c>
      <c r="I74" s="13">
        <v>2.8605</v>
      </c>
      <c r="J74" s="18">
        <f t="shared" si="3"/>
        <v>2.2192156862745094</v>
      </c>
      <c r="K74" s="18">
        <f t="shared" si="2"/>
        <v>6.5593395252838143</v>
      </c>
      <c r="L74" s="56">
        <v>5.24</v>
      </c>
      <c r="M74" s="56">
        <v>6.14</v>
      </c>
      <c r="N74" s="1">
        <v>3.2</v>
      </c>
      <c r="O74" s="28">
        <v>2.2989999999999999</v>
      </c>
      <c r="P74" s="60">
        <v>15</v>
      </c>
      <c r="Q74" s="1">
        <v>78</v>
      </c>
      <c r="R74" s="60">
        <v>1</v>
      </c>
      <c r="S74" s="1">
        <v>88</v>
      </c>
      <c r="T74" s="1">
        <v>47</v>
      </c>
      <c r="U74" s="1">
        <v>32</v>
      </c>
      <c r="V74" s="36">
        <v>5</v>
      </c>
    </row>
    <row r="75" spans="1:22" x14ac:dyDescent="0.2">
      <c r="A75" s="1">
        <v>8</v>
      </c>
      <c r="B75" s="1" t="s">
        <v>49</v>
      </c>
      <c r="C75" s="28">
        <v>2.375</v>
      </c>
      <c r="D75" s="1">
        <v>19</v>
      </c>
      <c r="E75" s="1">
        <v>1</v>
      </c>
      <c r="F75" s="1">
        <v>2</v>
      </c>
      <c r="G75" s="11">
        <v>2.7839999999999998</v>
      </c>
      <c r="H75" s="12">
        <v>1.556</v>
      </c>
      <c r="I75" s="13">
        <v>2.8035000000000001</v>
      </c>
      <c r="J75" s="18">
        <f t="shared" si="3"/>
        <v>2.2316633266533064</v>
      </c>
      <c r="K75" s="18">
        <f t="shared" si="2"/>
        <v>6.035228351439736</v>
      </c>
      <c r="L75" s="56">
        <v>5.24</v>
      </c>
      <c r="M75" s="56">
        <v>6.14</v>
      </c>
      <c r="N75" s="1">
        <v>3.2</v>
      </c>
      <c r="O75" s="28">
        <v>2.2989999999999999</v>
      </c>
      <c r="P75" s="60">
        <v>15</v>
      </c>
      <c r="Q75" s="1">
        <v>78</v>
      </c>
      <c r="R75" s="60">
        <v>1</v>
      </c>
      <c r="S75" s="1">
        <v>88</v>
      </c>
      <c r="T75" s="1">
        <v>47</v>
      </c>
      <c r="U75" s="1">
        <v>32</v>
      </c>
      <c r="V75" s="36">
        <v>5</v>
      </c>
    </row>
    <row r="76" spans="1:22" x14ac:dyDescent="0.2">
      <c r="A76" s="1">
        <v>8</v>
      </c>
      <c r="B76" s="1" t="s">
        <v>49</v>
      </c>
      <c r="C76" s="28">
        <v>2.375</v>
      </c>
      <c r="D76" s="1">
        <v>19</v>
      </c>
      <c r="E76" s="1">
        <v>1</v>
      </c>
      <c r="F76" s="1">
        <v>3</v>
      </c>
      <c r="G76" s="11">
        <v>2.8010000000000002</v>
      </c>
      <c r="H76" s="12">
        <v>1.5654999999999999</v>
      </c>
      <c r="I76" s="13">
        <v>2.8239999999999998</v>
      </c>
      <c r="J76" s="18">
        <f t="shared" si="3"/>
        <v>2.2256654747715539</v>
      </c>
      <c r="K76" s="18">
        <f t="shared" si="2"/>
        <v>6.2877694833029967</v>
      </c>
      <c r="L76" s="56">
        <v>5.24</v>
      </c>
      <c r="M76" s="56">
        <v>6.14</v>
      </c>
      <c r="N76" s="1">
        <v>3.2</v>
      </c>
      <c r="O76" s="28">
        <v>2.2989999999999999</v>
      </c>
      <c r="P76" s="60">
        <v>15</v>
      </c>
      <c r="Q76" s="1">
        <v>78</v>
      </c>
      <c r="R76" s="60">
        <v>1</v>
      </c>
      <c r="S76" s="1">
        <v>88</v>
      </c>
      <c r="T76" s="1">
        <v>47</v>
      </c>
      <c r="U76" s="1">
        <v>32</v>
      </c>
      <c r="V76" s="36">
        <v>5</v>
      </c>
    </row>
    <row r="77" spans="1:22" x14ac:dyDescent="0.2">
      <c r="A77" s="1">
        <v>8</v>
      </c>
      <c r="B77" s="1" t="s">
        <v>49</v>
      </c>
      <c r="C77" s="28">
        <v>2.375</v>
      </c>
      <c r="D77" s="1">
        <v>19</v>
      </c>
      <c r="E77" s="5">
        <v>1</v>
      </c>
      <c r="F77" s="5">
        <v>4</v>
      </c>
      <c r="G77" s="14">
        <v>2.806</v>
      </c>
      <c r="H77" s="9">
        <v>1.5674999999999999</v>
      </c>
      <c r="I77" s="15">
        <v>2.8304999999999998</v>
      </c>
      <c r="J77" s="19">
        <f t="shared" si="3"/>
        <v>2.2216943784639747</v>
      </c>
      <c r="K77" s="19">
        <f t="shared" si="2"/>
        <v>6.4549735383589653</v>
      </c>
      <c r="L77" s="58">
        <v>5.24</v>
      </c>
      <c r="M77" s="58">
        <v>6.14</v>
      </c>
      <c r="N77" s="5">
        <v>3.2</v>
      </c>
      <c r="O77" s="53">
        <v>2.2989999999999999</v>
      </c>
      <c r="P77" s="62">
        <v>15</v>
      </c>
      <c r="Q77" s="5">
        <v>78</v>
      </c>
      <c r="R77" s="62">
        <v>1</v>
      </c>
      <c r="S77" s="5">
        <v>88</v>
      </c>
      <c r="T77" s="5">
        <v>47</v>
      </c>
      <c r="U77" s="5">
        <v>32</v>
      </c>
      <c r="V77" s="43">
        <v>5</v>
      </c>
    </row>
    <row r="78" spans="1:22" x14ac:dyDescent="0.2">
      <c r="A78" s="1">
        <v>8</v>
      </c>
      <c r="B78" s="1" t="s">
        <v>50</v>
      </c>
      <c r="C78" s="28">
        <v>2.375</v>
      </c>
      <c r="D78" s="1">
        <v>19</v>
      </c>
      <c r="E78" s="26">
        <v>2</v>
      </c>
      <c r="F78" s="26">
        <v>0</v>
      </c>
      <c r="G78" s="21">
        <v>24.106999999999999</v>
      </c>
      <c r="H78" s="22">
        <v>13.3895</v>
      </c>
      <c r="I78" s="23">
        <v>24.349</v>
      </c>
      <c r="J78" s="24">
        <f t="shared" si="3"/>
        <v>2.1996441443496511</v>
      </c>
      <c r="K78" s="24">
        <f t="shared" si="2"/>
        <v>7.3834044484357486</v>
      </c>
      <c r="L78" s="56">
        <v>5.24</v>
      </c>
      <c r="M78" s="56">
        <v>6.14</v>
      </c>
      <c r="N78" s="1">
        <v>3.2</v>
      </c>
      <c r="O78" s="28">
        <v>2.2989999999999999</v>
      </c>
      <c r="P78" s="60">
        <v>15</v>
      </c>
      <c r="Q78" s="1">
        <v>78</v>
      </c>
      <c r="R78" s="60">
        <v>1</v>
      </c>
      <c r="S78" s="1">
        <v>88</v>
      </c>
      <c r="T78" s="1">
        <v>47</v>
      </c>
      <c r="U78" s="1">
        <v>32</v>
      </c>
      <c r="V78" s="36">
        <v>5</v>
      </c>
    </row>
    <row r="79" spans="1:22" x14ac:dyDescent="0.2">
      <c r="A79" s="1">
        <v>8</v>
      </c>
      <c r="B79" s="1" t="s">
        <v>50</v>
      </c>
      <c r="C79" s="28">
        <v>2.375</v>
      </c>
      <c r="D79" s="1">
        <v>19</v>
      </c>
      <c r="E79" s="1">
        <v>2</v>
      </c>
      <c r="F79" s="1">
        <v>1</v>
      </c>
      <c r="G79" s="11">
        <v>2.7244999999999999</v>
      </c>
      <c r="H79" s="12">
        <v>1.5169999999999999</v>
      </c>
      <c r="I79" s="13">
        <v>2.7404999999999999</v>
      </c>
      <c r="J79" s="18">
        <f t="shared" si="3"/>
        <v>2.2268083367388636</v>
      </c>
      <c r="K79" s="18">
        <f t="shared" si="2"/>
        <v>6.2396489794162679</v>
      </c>
      <c r="L79" s="56">
        <v>5.24</v>
      </c>
      <c r="M79" s="56">
        <v>6.14</v>
      </c>
      <c r="N79" s="1">
        <v>3.2</v>
      </c>
      <c r="O79" s="28">
        <v>2.2989999999999999</v>
      </c>
      <c r="P79" s="60">
        <v>15</v>
      </c>
      <c r="Q79" s="1">
        <v>78</v>
      </c>
      <c r="R79" s="60">
        <v>1</v>
      </c>
      <c r="S79" s="1">
        <v>88</v>
      </c>
      <c r="T79" s="1">
        <v>47</v>
      </c>
      <c r="U79" s="1">
        <v>32</v>
      </c>
      <c r="V79" s="36">
        <v>5</v>
      </c>
    </row>
    <row r="80" spans="1:22" x14ac:dyDescent="0.2">
      <c r="A80" s="1">
        <v>8</v>
      </c>
      <c r="B80" s="1" t="s">
        <v>50</v>
      </c>
      <c r="C80" s="28">
        <v>2.375</v>
      </c>
      <c r="D80" s="1">
        <v>19</v>
      </c>
      <c r="E80" s="1">
        <v>2</v>
      </c>
      <c r="F80" s="1">
        <v>2</v>
      </c>
      <c r="G80" s="11">
        <v>2.8134999999999999</v>
      </c>
      <c r="H80" s="12">
        <v>1.5705</v>
      </c>
      <c r="I80" s="13">
        <v>2.8330000000000002</v>
      </c>
      <c r="J80" s="18">
        <f t="shared" si="3"/>
        <v>2.2285148514851483</v>
      </c>
      <c r="K80" s="18">
        <f t="shared" si="2"/>
        <v>6.1677957269411277</v>
      </c>
      <c r="L80" s="56">
        <v>5.24</v>
      </c>
      <c r="M80" s="56">
        <v>6.14</v>
      </c>
      <c r="N80" s="1">
        <v>3.2</v>
      </c>
      <c r="O80" s="28">
        <v>2.2989999999999999</v>
      </c>
      <c r="P80" s="60">
        <v>15</v>
      </c>
      <c r="Q80" s="1">
        <v>78</v>
      </c>
      <c r="R80" s="60">
        <v>1</v>
      </c>
      <c r="S80" s="1">
        <v>88</v>
      </c>
      <c r="T80" s="1">
        <v>47</v>
      </c>
      <c r="U80" s="1">
        <v>32</v>
      </c>
      <c r="V80" s="36">
        <v>5</v>
      </c>
    </row>
    <row r="81" spans="1:22" x14ac:dyDescent="0.2">
      <c r="A81" s="1">
        <v>8</v>
      </c>
      <c r="B81" s="1" t="s">
        <v>50</v>
      </c>
      <c r="C81" s="28">
        <v>2.375</v>
      </c>
      <c r="D81" s="1">
        <v>19</v>
      </c>
      <c r="E81" s="1">
        <v>2</v>
      </c>
      <c r="F81" s="1">
        <v>3</v>
      </c>
      <c r="G81" s="11">
        <v>2.8029999999999999</v>
      </c>
      <c r="H81" s="12">
        <v>1.5714999999999999</v>
      </c>
      <c r="I81" s="13">
        <v>2.8279999999999998</v>
      </c>
      <c r="J81" s="18">
        <f t="shared" si="3"/>
        <v>2.2307998408276961</v>
      </c>
      <c r="K81" s="18">
        <f t="shared" si="2"/>
        <v>6.0715856493601672</v>
      </c>
      <c r="L81" s="56">
        <v>5.24</v>
      </c>
      <c r="M81" s="56">
        <v>6.14</v>
      </c>
      <c r="N81" s="1">
        <v>3.2</v>
      </c>
      <c r="O81" s="28">
        <v>2.2989999999999999</v>
      </c>
      <c r="P81" s="60">
        <v>15</v>
      </c>
      <c r="Q81" s="1">
        <v>78</v>
      </c>
      <c r="R81" s="60">
        <v>1</v>
      </c>
      <c r="S81" s="1">
        <v>88</v>
      </c>
      <c r="T81" s="1">
        <v>47</v>
      </c>
      <c r="U81" s="1">
        <v>32</v>
      </c>
      <c r="V81" s="36">
        <v>5</v>
      </c>
    </row>
    <row r="82" spans="1:22" ht="16" thickBot="1" x14ac:dyDescent="0.25">
      <c r="A82" s="1">
        <v>8</v>
      </c>
      <c r="B82" s="1" t="s">
        <v>50</v>
      </c>
      <c r="C82" s="29">
        <v>2.375</v>
      </c>
      <c r="D82" s="2">
        <v>19</v>
      </c>
      <c r="E82" s="2">
        <v>2</v>
      </c>
      <c r="F82" s="2">
        <v>4</v>
      </c>
      <c r="G82" s="16">
        <v>2.7654999999999998</v>
      </c>
      <c r="H82" s="10">
        <v>1.538</v>
      </c>
      <c r="I82" s="17">
        <v>2.7850000000000001</v>
      </c>
      <c r="J82" s="20">
        <f t="shared" si="3"/>
        <v>2.2177225340817959</v>
      </c>
      <c r="K82" s="20">
        <f t="shared" si="2"/>
        <v>6.6222090912928078</v>
      </c>
      <c r="L82" s="57">
        <v>5.24</v>
      </c>
      <c r="M82" s="57">
        <v>6.14</v>
      </c>
      <c r="N82" s="2">
        <v>3.2</v>
      </c>
      <c r="O82" s="29">
        <v>2.2989999999999999</v>
      </c>
      <c r="P82" s="61">
        <v>15</v>
      </c>
      <c r="Q82" s="2">
        <v>78</v>
      </c>
      <c r="R82" s="61">
        <v>1</v>
      </c>
      <c r="S82" s="2">
        <v>88</v>
      </c>
      <c r="T82" s="2">
        <v>47</v>
      </c>
      <c r="U82" s="2">
        <v>32</v>
      </c>
      <c r="V82" s="4">
        <v>5</v>
      </c>
    </row>
    <row r="83" spans="1:22" x14ac:dyDescent="0.2">
      <c r="A83" s="1">
        <v>9</v>
      </c>
      <c r="B83" s="1" t="s">
        <v>51</v>
      </c>
      <c r="C83" s="28">
        <v>2.3839999999999999</v>
      </c>
      <c r="D83" s="1">
        <v>12.5</v>
      </c>
      <c r="E83" s="26">
        <v>1</v>
      </c>
      <c r="F83" s="26">
        <v>0</v>
      </c>
      <c r="G83" s="21">
        <v>23.111000000000001</v>
      </c>
      <c r="H83" s="22">
        <v>12.8185</v>
      </c>
      <c r="I83" s="23">
        <v>23.335000000000001</v>
      </c>
      <c r="J83" s="24">
        <f t="shared" si="3"/>
        <v>2.197594256644321</v>
      </c>
      <c r="K83" s="24">
        <f t="shared" si="2"/>
        <v>7.8190328588791491</v>
      </c>
      <c r="L83" s="56">
        <v>5.09</v>
      </c>
      <c r="M83" s="56">
        <v>6</v>
      </c>
      <c r="N83" s="1">
        <v>3.4</v>
      </c>
      <c r="O83" s="28">
        <v>2.302</v>
      </c>
      <c r="P83" s="60">
        <v>14.9</v>
      </c>
      <c r="Q83" s="1">
        <v>77</v>
      </c>
      <c r="R83" s="60">
        <v>1.2</v>
      </c>
      <c r="S83" s="1">
        <v>93</v>
      </c>
      <c r="T83" s="1">
        <v>60</v>
      </c>
      <c r="U83" s="1">
        <v>41</v>
      </c>
      <c r="V83" s="36">
        <v>5.9</v>
      </c>
    </row>
    <row r="84" spans="1:22" x14ac:dyDescent="0.2">
      <c r="A84" s="1">
        <v>9</v>
      </c>
      <c r="B84" s="1" t="s">
        <v>51</v>
      </c>
      <c r="C84" s="28">
        <v>2.3839999999999999</v>
      </c>
      <c r="D84" s="1">
        <v>12.5</v>
      </c>
      <c r="E84" s="1">
        <v>1</v>
      </c>
      <c r="F84" s="1">
        <v>1</v>
      </c>
      <c r="G84" s="11">
        <v>2.8140000000000001</v>
      </c>
      <c r="H84" s="12">
        <v>1.5629999999999999</v>
      </c>
      <c r="I84" s="13">
        <v>2.82</v>
      </c>
      <c r="J84" s="18">
        <f t="shared" si="3"/>
        <v>2.2386634844868736</v>
      </c>
      <c r="K84" s="18">
        <f t="shared" si="2"/>
        <v>6.0963303487049592</v>
      </c>
      <c r="L84" s="56">
        <v>5.09</v>
      </c>
      <c r="M84" s="56">
        <v>6</v>
      </c>
      <c r="N84" s="1">
        <v>3.4</v>
      </c>
      <c r="O84" s="28">
        <v>2.302</v>
      </c>
      <c r="P84" s="60">
        <v>14.9</v>
      </c>
      <c r="Q84" s="1">
        <v>77</v>
      </c>
      <c r="R84" s="60">
        <v>1.2</v>
      </c>
      <c r="S84" s="1">
        <v>93</v>
      </c>
      <c r="T84" s="1">
        <v>60</v>
      </c>
      <c r="U84" s="1">
        <v>41</v>
      </c>
      <c r="V84" s="36">
        <v>5.9</v>
      </c>
    </row>
    <row r="85" spans="1:22" x14ac:dyDescent="0.2">
      <c r="A85" s="1">
        <v>9</v>
      </c>
      <c r="B85" s="1" t="s">
        <v>51</v>
      </c>
      <c r="C85" s="28">
        <v>2.3839999999999999</v>
      </c>
      <c r="D85" s="1">
        <v>12.5</v>
      </c>
      <c r="E85" s="1">
        <v>1</v>
      </c>
      <c r="F85" s="1">
        <v>2</v>
      </c>
      <c r="G85" s="11">
        <v>2.8690000000000002</v>
      </c>
      <c r="H85" s="12">
        <v>1.5925</v>
      </c>
      <c r="I85" s="13">
        <v>2.8734999999999999</v>
      </c>
      <c r="J85" s="18">
        <f t="shared" si="3"/>
        <v>2.2396565183450434</v>
      </c>
      <c r="K85" s="18">
        <f t="shared" si="2"/>
        <v>6.0546762439159574</v>
      </c>
      <c r="L85" s="56">
        <v>5.09</v>
      </c>
      <c r="M85" s="56">
        <v>6</v>
      </c>
      <c r="N85" s="1">
        <v>3.4</v>
      </c>
      <c r="O85" s="28">
        <v>2.302</v>
      </c>
      <c r="P85" s="60">
        <v>14.9</v>
      </c>
      <c r="Q85" s="1">
        <v>77</v>
      </c>
      <c r="R85" s="60">
        <v>1.2</v>
      </c>
      <c r="S85" s="1">
        <v>93</v>
      </c>
      <c r="T85" s="1">
        <v>60</v>
      </c>
      <c r="U85" s="1">
        <v>41</v>
      </c>
      <c r="V85" s="36">
        <v>5.9</v>
      </c>
    </row>
    <row r="86" spans="1:22" x14ac:dyDescent="0.2">
      <c r="A86" s="1">
        <v>9</v>
      </c>
      <c r="B86" s="1" t="s">
        <v>51</v>
      </c>
      <c r="C86" s="28">
        <v>2.3839999999999999</v>
      </c>
      <c r="D86" s="1">
        <v>12.5</v>
      </c>
      <c r="E86" s="1">
        <v>1</v>
      </c>
      <c r="F86" s="1">
        <v>3</v>
      </c>
      <c r="G86" s="11">
        <v>2.84</v>
      </c>
      <c r="H86" s="12">
        <v>1.5665</v>
      </c>
      <c r="I86" s="13">
        <v>2.8460000000000001</v>
      </c>
      <c r="J86" s="18">
        <f t="shared" si="3"/>
        <v>2.2196170379054316</v>
      </c>
      <c r="K86" s="18">
        <f t="shared" si="2"/>
        <v>6.8952584771211578</v>
      </c>
      <c r="L86" s="56">
        <v>5.09</v>
      </c>
      <c r="M86" s="56">
        <v>6</v>
      </c>
      <c r="N86" s="1">
        <v>3.4</v>
      </c>
      <c r="O86" s="28">
        <v>2.302</v>
      </c>
      <c r="P86" s="60">
        <v>14.9</v>
      </c>
      <c r="Q86" s="1">
        <v>77</v>
      </c>
      <c r="R86" s="60">
        <v>1.2</v>
      </c>
      <c r="S86" s="1">
        <v>93</v>
      </c>
      <c r="T86" s="1">
        <v>60</v>
      </c>
      <c r="U86" s="1">
        <v>41</v>
      </c>
      <c r="V86" s="36">
        <v>5.9</v>
      </c>
    </row>
    <row r="87" spans="1:22" x14ac:dyDescent="0.2">
      <c r="A87" s="1">
        <v>9</v>
      </c>
      <c r="B87" s="1" t="s">
        <v>51</v>
      </c>
      <c r="C87" s="28">
        <v>2.3839999999999999</v>
      </c>
      <c r="D87" s="1">
        <v>12.5</v>
      </c>
      <c r="E87" s="5">
        <v>1</v>
      </c>
      <c r="F87" s="5">
        <v>4</v>
      </c>
      <c r="G87" s="14">
        <v>2.8035000000000001</v>
      </c>
      <c r="H87" s="9">
        <v>1.5545</v>
      </c>
      <c r="I87" s="15">
        <v>2.8119999999999998</v>
      </c>
      <c r="J87" s="19">
        <f t="shared" si="3"/>
        <v>2.2294234592445332</v>
      </c>
      <c r="K87" s="19">
        <f t="shared" si="2"/>
        <v>6.4839153001454157</v>
      </c>
      <c r="L87" s="58">
        <v>5.09</v>
      </c>
      <c r="M87" s="58">
        <v>6</v>
      </c>
      <c r="N87" s="5">
        <v>3.4</v>
      </c>
      <c r="O87" s="53">
        <v>2.302</v>
      </c>
      <c r="P87" s="62">
        <v>14.9</v>
      </c>
      <c r="Q87" s="5">
        <v>77</v>
      </c>
      <c r="R87" s="62">
        <v>1.2</v>
      </c>
      <c r="S87" s="5">
        <v>93</v>
      </c>
      <c r="T87" s="5">
        <v>60</v>
      </c>
      <c r="U87" s="5">
        <v>41</v>
      </c>
      <c r="V87" s="43">
        <v>5.9</v>
      </c>
    </row>
    <row r="88" spans="1:22" x14ac:dyDescent="0.2">
      <c r="A88" s="1">
        <v>9</v>
      </c>
      <c r="B88" s="1" t="s">
        <v>52</v>
      </c>
      <c r="C88" s="28">
        <v>2.3839999999999999</v>
      </c>
      <c r="D88" s="1">
        <v>12.5</v>
      </c>
      <c r="E88" s="26">
        <v>2</v>
      </c>
      <c r="F88" s="26">
        <v>0</v>
      </c>
      <c r="G88" s="21">
        <v>24.037500000000001</v>
      </c>
      <c r="H88" s="22">
        <v>13.334</v>
      </c>
      <c r="I88" s="23">
        <v>24.265499999999999</v>
      </c>
      <c r="J88" s="24">
        <f t="shared" si="3"/>
        <v>2.1989205507020997</v>
      </c>
      <c r="K88" s="24">
        <f t="shared" si="2"/>
        <v>7.7633997188716553</v>
      </c>
      <c r="L88" s="56">
        <v>5.09</v>
      </c>
      <c r="M88" s="56">
        <v>6</v>
      </c>
      <c r="N88" s="1">
        <v>3.4</v>
      </c>
      <c r="O88" s="28">
        <v>2.302</v>
      </c>
      <c r="P88" s="60">
        <v>14.9</v>
      </c>
      <c r="Q88" s="1">
        <v>77</v>
      </c>
      <c r="R88" s="60">
        <v>1.2</v>
      </c>
      <c r="S88" s="1">
        <v>93</v>
      </c>
      <c r="T88" s="1">
        <v>60</v>
      </c>
      <c r="U88" s="1">
        <v>41</v>
      </c>
      <c r="V88" s="36">
        <v>5.9</v>
      </c>
    </row>
    <row r="89" spans="1:22" x14ac:dyDescent="0.2">
      <c r="A89" s="1">
        <v>9</v>
      </c>
      <c r="B89" s="1" t="s">
        <v>52</v>
      </c>
      <c r="C89" s="28">
        <v>2.3839999999999999</v>
      </c>
      <c r="D89" s="1">
        <v>12.5</v>
      </c>
      <c r="E89" s="1">
        <v>2</v>
      </c>
      <c r="F89" s="1">
        <v>1</v>
      </c>
      <c r="G89" s="11">
        <v>2.8254999999999999</v>
      </c>
      <c r="H89" s="12">
        <v>1.57</v>
      </c>
      <c r="I89" s="13">
        <v>2.8315000000000001</v>
      </c>
      <c r="J89" s="18">
        <f t="shared" si="3"/>
        <v>2.2397938961553705</v>
      </c>
      <c r="K89" s="18">
        <f t="shared" si="2"/>
        <v>6.0489137518720426</v>
      </c>
      <c r="L89" s="56">
        <v>5.09</v>
      </c>
      <c r="M89" s="56">
        <v>6</v>
      </c>
      <c r="N89" s="1">
        <v>3.4</v>
      </c>
      <c r="O89" s="28">
        <v>2.302</v>
      </c>
      <c r="P89" s="60">
        <v>14.9</v>
      </c>
      <c r="Q89" s="1">
        <v>77</v>
      </c>
      <c r="R89" s="60">
        <v>1.2</v>
      </c>
      <c r="S89" s="1">
        <v>93</v>
      </c>
      <c r="T89" s="1">
        <v>60</v>
      </c>
      <c r="U89" s="1">
        <v>41</v>
      </c>
      <c r="V89" s="36">
        <v>5.9</v>
      </c>
    </row>
    <row r="90" spans="1:22" x14ac:dyDescent="0.2">
      <c r="A90" s="1">
        <v>9</v>
      </c>
      <c r="B90" s="1" t="s">
        <v>52</v>
      </c>
      <c r="C90" s="28">
        <v>2.3839999999999999</v>
      </c>
      <c r="D90" s="1">
        <v>12.5</v>
      </c>
      <c r="E90" s="1">
        <v>2</v>
      </c>
      <c r="F90" s="1">
        <v>2</v>
      </c>
      <c r="G90" s="11">
        <v>2.8740000000000001</v>
      </c>
      <c r="H90" s="12">
        <v>1.59</v>
      </c>
      <c r="I90" s="13">
        <v>2.88</v>
      </c>
      <c r="J90" s="18">
        <f t="shared" si="3"/>
        <v>2.2279069767441864</v>
      </c>
      <c r="K90" s="18">
        <f t="shared" si="2"/>
        <v>6.5475261432807681</v>
      </c>
      <c r="L90" s="56">
        <v>5.09</v>
      </c>
      <c r="M90" s="56">
        <v>6</v>
      </c>
      <c r="N90" s="1">
        <v>3.4</v>
      </c>
      <c r="O90" s="28">
        <v>2.302</v>
      </c>
      <c r="P90" s="60">
        <v>14.9</v>
      </c>
      <c r="Q90" s="1">
        <v>77</v>
      </c>
      <c r="R90" s="60">
        <v>1.2</v>
      </c>
      <c r="S90" s="1">
        <v>93</v>
      </c>
      <c r="T90" s="1">
        <v>60</v>
      </c>
      <c r="U90" s="1">
        <v>41</v>
      </c>
      <c r="V90" s="36">
        <v>5.9</v>
      </c>
    </row>
    <row r="91" spans="1:22" x14ac:dyDescent="0.2">
      <c r="A91" s="1">
        <v>9</v>
      </c>
      <c r="B91" s="1" t="s">
        <v>52</v>
      </c>
      <c r="C91" s="28">
        <v>2.3839999999999999</v>
      </c>
      <c r="D91" s="1">
        <v>12.5</v>
      </c>
      <c r="E91" s="1">
        <v>2</v>
      </c>
      <c r="F91" s="1">
        <v>3</v>
      </c>
      <c r="G91" s="11">
        <v>2.8504999999999998</v>
      </c>
      <c r="H91" s="12">
        <v>1.5814999999999999</v>
      </c>
      <c r="I91" s="13">
        <v>2.8544999999999998</v>
      </c>
      <c r="J91" s="18">
        <f t="shared" si="3"/>
        <v>2.2391987431264728</v>
      </c>
      <c r="K91" s="18">
        <f t="shared" si="2"/>
        <v>6.073878224560703</v>
      </c>
      <c r="L91" s="56">
        <v>5.09</v>
      </c>
      <c r="M91" s="56">
        <v>6</v>
      </c>
      <c r="N91" s="1">
        <v>3.4</v>
      </c>
      <c r="O91" s="28">
        <v>2.302</v>
      </c>
      <c r="P91" s="60">
        <v>14.9</v>
      </c>
      <c r="Q91" s="1">
        <v>77</v>
      </c>
      <c r="R91" s="60">
        <v>1.2</v>
      </c>
      <c r="S91" s="1">
        <v>93</v>
      </c>
      <c r="T91" s="1">
        <v>60</v>
      </c>
      <c r="U91" s="1">
        <v>41</v>
      </c>
      <c r="V91" s="36">
        <v>5.9</v>
      </c>
    </row>
    <row r="92" spans="1:22" ht="16" thickBot="1" x14ac:dyDescent="0.25">
      <c r="A92" s="1">
        <v>9</v>
      </c>
      <c r="B92" s="1" t="s">
        <v>52</v>
      </c>
      <c r="C92" s="29">
        <v>2.3839999999999999</v>
      </c>
      <c r="D92" s="2">
        <v>12.5</v>
      </c>
      <c r="E92" s="2">
        <v>2</v>
      </c>
      <c r="F92" s="2">
        <v>4</v>
      </c>
      <c r="G92" s="16">
        <v>2.86</v>
      </c>
      <c r="H92" s="10">
        <v>1.5865</v>
      </c>
      <c r="I92" s="17">
        <v>2.8660000000000001</v>
      </c>
      <c r="J92" s="20">
        <f t="shared" si="3"/>
        <v>2.235248143806174</v>
      </c>
      <c r="K92" s="20">
        <f t="shared" si="2"/>
        <v>6.2395912832980631</v>
      </c>
      <c r="L92" s="57">
        <v>5.09</v>
      </c>
      <c r="M92" s="57">
        <v>6</v>
      </c>
      <c r="N92" s="2">
        <v>3.4</v>
      </c>
      <c r="O92" s="29">
        <v>2.302</v>
      </c>
      <c r="P92" s="61">
        <v>14.9</v>
      </c>
      <c r="Q92" s="2">
        <v>77</v>
      </c>
      <c r="R92" s="61">
        <v>1.2</v>
      </c>
      <c r="S92" s="2">
        <v>93</v>
      </c>
      <c r="T92" s="2">
        <v>60</v>
      </c>
      <c r="U92" s="2">
        <v>41</v>
      </c>
      <c r="V92" s="4">
        <v>5.9</v>
      </c>
    </row>
    <row r="93" spans="1:22" x14ac:dyDescent="0.2">
      <c r="A93" s="1">
        <v>10</v>
      </c>
      <c r="B93" s="1" t="s">
        <v>53</v>
      </c>
      <c r="C93" s="28">
        <v>2.3889999999999998</v>
      </c>
      <c r="D93" s="1">
        <v>19</v>
      </c>
      <c r="E93" s="26">
        <v>1</v>
      </c>
      <c r="F93" s="26">
        <v>0</v>
      </c>
      <c r="G93" s="21">
        <v>23.942</v>
      </c>
      <c r="H93" s="22">
        <v>13.254200000000001</v>
      </c>
      <c r="I93" s="23">
        <v>24.056999999999999</v>
      </c>
      <c r="J93" s="24">
        <f t="shared" si="3"/>
        <v>2.2162772614507356</v>
      </c>
      <c r="K93" s="24">
        <f t="shared" si="2"/>
        <v>7.2299178965786641</v>
      </c>
      <c r="L93" s="56">
        <v>4.95</v>
      </c>
      <c r="M93" s="56">
        <v>5.9</v>
      </c>
      <c r="N93" s="1">
        <v>3.5</v>
      </c>
      <c r="O93" s="28">
        <v>2.3069999999999999</v>
      </c>
      <c r="P93" s="60">
        <v>14.6</v>
      </c>
      <c r="Q93" s="1">
        <v>76</v>
      </c>
      <c r="R93" s="60">
        <v>1.1000000000000001</v>
      </c>
      <c r="S93" s="1">
        <v>88</v>
      </c>
      <c r="T93" s="1">
        <v>51</v>
      </c>
      <c r="U93" s="1">
        <v>35</v>
      </c>
      <c r="V93" s="36">
        <v>5.5</v>
      </c>
    </row>
    <row r="94" spans="1:22" x14ac:dyDescent="0.2">
      <c r="A94" s="1">
        <v>10</v>
      </c>
      <c r="B94" s="1" t="s">
        <v>53</v>
      </c>
      <c r="C94" s="28">
        <v>2.3889999999999998</v>
      </c>
      <c r="D94" s="1">
        <v>19</v>
      </c>
      <c r="E94" s="1">
        <v>1</v>
      </c>
      <c r="F94" s="1">
        <v>1</v>
      </c>
      <c r="G94" s="11">
        <v>2.7865000000000002</v>
      </c>
      <c r="H94" s="12">
        <v>1.5485</v>
      </c>
      <c r="I94" s="13">
        <v>2.7909999999999999</v>
      </c>
      <c r="J94" s="18">
        <f t="shared" si="3"/>
        <v>2.2426559356136821</v>
      </c>
      <c r="K94" s="18">
        <f t="shared" si="2"/>
        <v>6.1257456838140545</v>
      </c>
      <c r="L94" s="56">
        <v>4.95</v>
      </c>
      <c r="M94" s="56">
        <v>5.9</v>
      </c>
      <c r="N94" s="1">
        <v>3.5</v>
      </c>
      <c r="O94" s="28">
        <v>2.3069999999999999</v>
      </c>
      <c r="P94" s="60">
        <v>14.6</v>
      </c>
      <c r="Q94" s="1">
        <v>76</v>
      </c>
      <c r="R94" s="60">
        <v>1.1000000000000001</v>
      </c>
      <c r="S94" s="1">
        <v>88</v>
      </c>
      <c r="T94" s="1">
        <v>51</v>
      </c>
      <c r="U94" s="1">
        <v>35</v>
      </c>
      <c r="V94" s="36">
        <v>5.5</v>
      </c>
    </row>
    <row r="95" spans="1:22" x14ac:dyDescent="0.2">
      <c r="A95" s="1">
        <v>10</v>
      </c>
      <c r="B95" s="1" t="s">
        <v>53</v>
      </c>
      <c r="C95" s="28">
        <v>2.3889999999999998</v>
      </c>
      <c r="D95" s="1">
        <v>19</v>
      </c>
      <c r="E95" s="1">
        <v>1</v>
      </c>
      <c r="F95" s="1">
        <v>2</v>
      </c>
      <c r="G95" s="11">
        <v>2.798</v>
      </c>
      <c r="H95" s="12">
        <v>1.554</v>
      </c>
      <c r="I95" s="13">
        <v>2.8014999999999999</v>
      </c>
      <c r="J95" s="18">
        <f t="shared" si="3"/>
        <v>2.2428857715430865</v>
      </c>
      <c r="K95" s="18">
        <f t="shared" si="2"/>
        <v>6.1161250923781214</v>
      </c>
      <c r="L95" s="56">
        <v>4.95</v>
      </c>
      <c r="M95" s="56">
        <v>5.9</v>
      </c>
      <c r="N95" s="1">
        <v>3.5</v>
      </c>
      <c r="O95" s="28">
        <v>2.3069999999999999</v>
      </c>
      <c r="P95" s="60">
        <v>14.6</v>
      </c>
      <c r="Q95" s="1">
        <v>76</v>
      </c>
      <c r="R95" s="60">
        <v>1.1000000000000001</v>
      </c>
      <c r="S95" s="1">
        <v>88</v>
      </c>
      <c r="T95" s="1">
        <v>51</v>
      </c>
      <c r="U95" s="1">
        <v>35</v>
      </c>
      <c r="V95" s="36">
        <v>5.5</v>
      </c>
    </row>
    <row r="96" spans="1:22" x14ac:dyDescent="0.2">
      <c r="A96" s="1">
        <v>10</v>
      </c>
      <c r="B96" s="1" t="s">
        <v>53</v>
      </c>
      <c r="C96" s="28">
        <v>2.3889999999999998</v>
      </c>
      <c r="D96" s="1">
        <v>19</v>
      </c>
      <c r="E96" s="1">
        <v>1</v>
      </c>
      <c r="F96" s="1">
        <v>3</v>
      </c>
      <c r="G96" s="11">
        <v>2.8035000000000001</v>
      </c>
      <c r="H96" s="12">
        <v>1.5535000000000001</v>
      </c>
      <c r="I96" s="13">
        <v>2.8090000000000002</v>
      </c>
      <c r="J96" s="18">
        <f t="shared" si="3"/>
        <v>2.2329749103942653</v>
      </c>
      <c r="K96" s="18">
        <f t="shared" si="2"/>
        <v>6.5309790542375286</v>
      </c>
      <c r="L96" s="56">
        <v>4.95</v>
      </c>
      <c r="M96" s="56">
        <v>5.9</v>
      </c>
      <c r="N96" s="1">
        <v>3.5</v>
      </c>
      <c r="O96" s="28">
        <v>2.3069999999999999</v>
      </c>
      <c r="P96" s="60">
        <v>14.6</v>
      </c>
      <c r="Q96" s="1">
        <v>76</v>
      </c>
      <c r="R96" s="60">
        <v>1.1000000000000001</v>
      </c>
      <c r="S96" s="1">
        <v>88</v>
      </c>
      <c r="T96" s="1">
        <v>51</v>
      </c>
      <c r="U96" s="1">
        <v>35</v>
      </c>
      <c r="V96" s="36">
        <v>5.5</v>
      </c>
    </row>
    <row r="97" spans="1:22" x14ac:dyDescent="0.2">
      <c r="A97" s="1">
        <v>10</v>
      </c>
      <c r="B97" s="1" t="s">
        <v>53</v>
      </c>
      <c r="C97" s="28">
        <v>2.3889999999999998</v>
      </c>
      <c r="D97" s="1">
        <v>19</v>
      </c>
      <c r="E97" s="5">
        <v>1</v>
      </c>
      <c r="F97" s="5">
        <v>4</v>
      </c>
      <c r="G97" s="14">
        <v>2.7919999999999998</v>
      </c>
      <c r="H97" s="9">
        <v>1.5495000000000001</v>
      </c>
      <c r="I97" s="15">
        <v>2.7949999999999999</v>
      </c>
      <c r="J97" s="19">
        <f t="shared" si="3"/>
        <v>2.2416700120433561</v>
      </c>
      <c r="K97" s="19">
        <f t="shared" si="2"/>
        <v>6.167014983534691</v>
      </c>
      <c r="L97" s="58">
        <v>4.95</v>
      </c>
      <c r="M97" s="58">
        <v>5.9</v>
      </c>
      <c r="N97" s="5">
        <v>3.5</v>
      </c>
      <c r="O97" s="53">
        <v>2.3069999999999999</v>
      </c>
      <c r="P97" s="62">
        <v>14.6</v>
      </c>
      <c r="Q97" s="5">
        <v>76</v>
      </c>
      <c r="R97" s="62">
        <v>1.1000000000000001</v>
      </c>
      <c r="S97" s="5">
        <v>88</v>
      </c>
      <c r="T97" s="5">
        <v>51</v>
      </c>
      <c r="U97" s="5">
        <v>35</v>
      </c>
      <c r="V97" s="43">
        <v>5.5</v>
      </c>
    </row>
    <row r="98" spans="1:22" x14ac:dyDescent="0.2">
      <c r="A98" s="1">
        <v>10</v>
      </c>
      <c r="B98" s="1" t="s">
        <v>54</v>
      </c>
      <c r="C98" s="28">
        <v>2.3889999999999998</v>
      </c>
      <c r="D98" s="1">
        <v>19</v>
      </c>
      <c r="E98" s="26">
        <v>2</v>
      </c>
      <c r="F98" s="26">
        <v>0</v>
      </c>
      <c r="G98" s="21">
        <v>24.018000000000001</v>
      </c>
      <c r="H98" s="22">
        <v>13.279</v>
      </c>
      <c r="I98" s="23">
        <v>24.1265</v>
      </c>
      <c r="J98" s="24">
        <f t="shared" si="3"/>
        <v>2.2141507259737265</v>
      </c>
      <c r="K98" s="24">
        <f t="shared" si="2"/>
        <v>7.318931520563976</v>
      </c>
      <c r="L98" s="56">
        <v>4.95</v>
      </c>
      <c r="M98" s="56">
        <v>5.9</v>
      </c>
      <c r="N98" s="1">
        <v>3.5</v>
      </c>
      <c r="O98" s="28">
        <v>2.3069999999999999</v>
      </c>
      <c r="P98" s="60">
        <v>14.6</v>
      </c>
      <c r="Q98" s="1">
        <v>76</v>
      </c>
      <c r="R98" s="60">
        <v>1.1000000000000001</v>
      </c>
      <c r="S98" s="1">
        <v>88</v>
      </c>
      <c r="T98" s="1">
        <v>51</v>
      </c>
      <c r="U98" s="1">
        <v>35</v>
      </c>
      <c r="V98" s="36">
        <v>5.5</v>
      </c>
    </row>
    <row r="99" spans="1:22" x14ac:dyDescent="0.2">
      <c r="A99" s="1">
        <v>10</v>
      </c>
      <c r="B99" s="1" t="s">
        <v>54</v>
      </c>
      <c r="C99" s="28">
        <v>2.3889999999999998</v>
      </c>
      <c r="D99" s="1">
        <v>19</v>
      </c>
      <c r="E99" s="1">
        <v>2</v>
      </c>
      <c r="F99" s="1">
        <v>1</v>
      </c>
      <c r="G99" s="11">
        <v>2.7985000000000002</v>
      </c>
      <c r="H99" s="12">
        <v>1.5489999999999999</v>
      </c>
      <c r="I99" s="13">
        <v>2.8</v>
      </c>
      <c r="J99" s="18">
        <f t="shared" si="3"/>
        <v>2.2370103916866508</v>
      </c>
      <c r="K99" s="18">
        <f t="shared" si="2"/>
        <v>6.3620597870803213</v>
      </c>
      <c r="L99" s="56">
        <v>4.95</v>
      </c>
      <c r="M99" s="56">
        <v>5.9</v>
      </c>
      <c r="N99" s="1">
        <v>3.5</v>
      </c>
      <c r="O99" s="28">
        <v>2.3069999999999999</v>
      </c>
      <c r="P99" s="60">
        <v>14.6</v>
      </c>
      <c r="Q99" s="1">
        <v>76</v>
      </c>
      <c r="R99" s="60">
        <v>1.1000000000000001</v>
      </c>
      <c r="S99" s="1">
        <v>88</v>
      </c>
      <c r="T99" s="1">
        <v>51</v>
      </c>
      <c r="U99" s="1">
        <v>35</v>
      </c>
      <c r="V99" s="36">
        <v>5.5</v>
      </c>
    </row>
    <row r="100" spans="1:22" x14ac:dyDescent="0.2">
      <c r="A100" s="1">
        <v>10</v>
      </c>
      <c r="B100" s="1" t="s">
        <v>54</v>
      </c>
      <c r="C100" s="28">
        <v>2.3889999999999998</v>
      </c>
      <c r="D100" s="1">
        <v>19</v>
      </c>
      <c r="E100" s="1">
        <v>2</v>
      </c>
      <c r="F100" s="1">
        <v>2</v>
      </c>
      <c r="G100" s="11">
        <v>2.8109999999999999</v>
      </c>
      <c r="H100" s="12">
        <v>1.546</v>
      </c>
      <c r="I100" s="13">
        <v>2.806</v>
      </c>
      <c r="J100" s="18">
        <f t="shared" si="3"/>
        <v>2.230952380952381</v>
      </c>
      <c r="K100" s="18">
        <f t="shared" si="2"/>
        <v>6.6156391397077741</v>
      </c>
      <c r="L100" s="56">
        <v>4.95</v>
      </c>
      <c r="M100" s="56">
        <v>5.9</v>
      </c>
      <c r="N100" s="1">
        <v>3.5</v>
      </c>
      <c r="O100" s="28">
        <v>2.3069999999999999</v>
      </c>
      <c r="P100" s="60">
        <v>14.6</v>
      </c>
      <c r="Q100" s="1">
        <v>76</v>
      </c>
      <c r="R100" s="60">
        <v>1.1000000000000001</v>
      </c>
      <c r="S100" s="1">
        <v>88</v>
      </c>
      <c r="T100" s="1">
        <v>51</v>
      </c>
      <c r="U100" s="1">
        <v>35</v>
      </c>
      <c r="V100" s="36">
        <v>5.5</v>
      </c>
    </row>
    <row r="101" spans="1:22" x14ac:dyDescent="0.2">
      <c r="A101" s="1">
        <v>10</v>
      </c>
      <c r="B101" s="1" t="s">
        <v>54</v>
      </c>
      <c r="C101" s="28">
        <v>2.3889999999999998</v>
      </c>
      <c r="D101" s="1">
        <v>19</v>
      </c>
      <c r="E101" s="1">
        <v>2</v>
      </c>
      <c r="F101" s="1">
        <v>3</v>
      </c>
      <c r="G101" s="11">
        <v>2.786</v>
      </c>
      <c r="H101" s="12">
        <v>1.5488999999999999</v>
      </c>
      <c r="I101" s="13">
        <v>2.7949999999999999</v>
      </c>
      <c r="J101" s="18">
        <f t="shared" si="3"/>
        <v>2.2357756199341949</v>
      </c>
      <c r="K101" s="18">
        <f t="shared" si="2"/>
        <v>6.4137455029637858</v>
      </c>
      <c r="L101" s="56">
        <v>4.95</v>
      </c>
      <c r="M101" s="56">
        <v>5.9</v>
      </c>
      <c r="N101" s="1">
        <v>3.5</v>
      </c>
      <c r="O101" s="28">
        <v>2.3069999999999999</v>
      </c>
      <c r="P101" s="60">
        <v>14.6</v>
      </c>
      <c r="Q101" s="1">
        <v>76</v>
      </c>
      <c r="R101" s="60">
        <v>1.1000000000000001</v>
      </c>
      <c r="S101" s="1">
        <v>88</v>
      </c>
      <c r="T101" s="1">
        <v>51</v>
      </c>
      <c r="U101" s="1">
        <v>35</v>
      </c>
      <c r="V101" s="36">
        <v>5.5</v>
      </c>
    </row>
    <row r="102" spans="1:22" ht="16" thickBot="1" x14ac:dyDescent="0.25">
      <c r="A102" s="1">
        <v>10</v>
      </c>
      <c r="B102" s="1" t="s">
        <v>54</v>
      </c>
      <c r="C102" s="29">
        <v>2.3889999999999998</v>
      </c>
      <c r="D102" s="2">
        <v>19</v>
      </c>
      <c r="E102" s="2">
        <v>2</v>
      </c>
      <c r="F102" s="2">
        <v>4</v>
      </c>
      <c r="G102" s="16">
        <v>2.7930000000000001</v>
      </c>
      <c r="H102" s="10">
        <v>1.552</v>
      </c>
      <c r="I102" s="17">
        <v>2.8050000000000002</v>
      </c>
      <c r="J102" s="20">
        <f t="shared" si="3"/>
        <v>2.2290502793296088</v>
      </c>
      <c r="K102" s="20">
        <f t="shared" si="2"/>
        <v>6.6952582951189221</v>
      </c>
      <c r="L102" s="57">
        <v>4.95</v>
      </c>
      <c r="M102" s="57">
        <v>5.9</v>
      </c>
      <c r="N102" s="2">
        <v>3.5</v>
      </c>
      <c r="O102" s="29">
        <v>2.3069999999999999</v>
      </c>
      <c r="P102" s="61">
        <v>14.6</v>
      </c>
      <c r="Q102" s="2">
        <v>76</v>
      </c>
      <c r="R102" s="61">
        <v>1.1000000000000001</v>
      </c>
      <c r="S102" s="2">
        <v>88</v>
      </c>
      <c r="T102" s="2">
        <v>51</v>
      </c>
      <c r="U102" s="2">
        <v>35</v>
      </c>
      <c r="V102" s="4">
        <v>5.5</v>
      </c>
    </row>
    <row r="103" spans="1:22" x14ac:dyDescent="0.2">
      <c r="A103" s="1">
        <v>11</v>
      </c>
      <c r="B103" s="1" t="s">
        <v>55</v>
      </c>
      <c r="C103" s="28">
        <v>2.3730000000000002</v>
      </c>
      <c r="D103" s="1">
        <v>12.5</v>
      </c>
      <c r="E103" s="26">
        <v>1</v>
      </c>
      <c r="F103" s="26">
        <v>0</v>
      </c>
      <c r="G103" s="21">
        <v>23.834</v>
      </c>
      <c r="H103" s="22">
        <v>13.231999999999999</v>
      </c>
      <c r="I103" s="23">
        <v>24.151499999999999</v>
      </c>
      <c r="J103" s="24">
        <f t="shared" si="3"/>
        <v>2.182700673107743</v>
      </c>
      <c r="K103" s="24">
        <f t="shared" si="2"/>
        <v>8.0193563797832823</v>
      </c>
      <c r="L103" s="56">
        <v>5.3</v>
      </c>
      <c r="M103" s="56">
        <v>6.1</v>
      </c>
      <c r="N103" s="1">
        <v>3.3</v>
      </c>
      <c r="O103" s="28">
        <v>2.2959999999999998</v>
      </c>
      <c r="P103" s="60">
        <v>15.1</v>
      </c>
      <c r="Q103" s="1">
        <v>78</v>
      </c>
      <c r="R103" s="60">
        <v>1.1000000000000001</v>
      </c>
      <c r="S103" s="1">
        <v>93</v>
      </c>
      <c r="T103" s="1">
        <v>58</v>
      </c>
      <c r="U103" s="1">
        <v>40</v>
      </c>
      <c r="V103" s="36">
        <v>5.8</v>
      </c>
    </row>
    <row r="104" spans="1:22" x14ac:dyDescent="0.2">
      <c r="A104" s="1">
        <v>11</v>
      </c>
      <c r="B104" s="1" t="s">
        <v>55</v>
      </c>
      <c r="C104" s="28">
        <v>2.3730000000000002</v>
      </c>
      <c r="D104" s="1">
        <v>12.5</v>
      </c>
      <c r="E104" s="1">
        <v>1</v>
      </c>
      <c r="F104" s="1">
        <v>1</v>
      </c>
      <c r="G104" s="11">
        <v>2.7284999999999999</v>
      </c>
      <c r="H104" s="12">
        <v>1.5</v>
      </c>
      <c r="I104" s="13">
        <v>2.73</v>
      </c>
      <c r="J104" s="18">
        <f t="shared" si="3"/>
        <v>2.2182926829268292</v>
      </c>
      <c r="K104" s="18">
        <f t="shared" si="2"/>
        <v>6.5194823882499309</v>
      </c>
      <c r="L104" s="56">
        <v>5.3</v>
      </c>
      <c r="M104" s="56">
        <v>6.1</v>
      </c>
      <c r="N104" s="1">
        <v>3.3</v>
      </c>
      <c r="O104" s="28">
        <v>2.2959999999999998</v>
      </c>
      <c r="P104" s="60">
        <v>15.1</v>
      </c>
      <c r="Q104" s="1">
        <v>78</v>
      </c>
      <c r="R104" s="60">
        <v>1.1000000000000001</v>
      </c>
      <c r="S104" s="1">
        <v>93</v>
      </c>
      <c r="T104" s="1">
        <v>58</v>
      </c>
      <c r="U104" s="1">
        <v>40</v>
      </c>
      <c r="V104" s="36">
        <v>5.8</v>
      </c>
    </row>
    <row r="105" spans="1:22" x14ac:dyDescent="0.2">
      <c r="A105" s="1">
        <v>11</v>
      </c>
      <c r="B105" s="1" t="s">
        <v>55</v>
      </c>
      <c r="C105" s="28">
        <v>2.3730000000000002</v>
      </c>
      <c r="D105" s="1">
        <v>12.5</v>
      </c>
      <c r="E105" s="1">
        <v>1</v>
      </c>
      <c r="F105" s="1">
        <v>2</v>
      </c>
      <c r="G105" s="11">
        <v>2.7715000000000001</v>
      </c>
      <c r="H105" s="12">
        <v>1.5365</v>
      </c>
      <c r="I105" s="13">
        <v>2.7845</v>
      </c>
      <c r="J105" s="18">
        <f t="shared" si="3"/>
        <v>2.2207532051282053</v>
      </c>
      <c r="K105" s="18">
        <f t="shared" si="2"/>
        <v>6.4157941370330818</v>
      </c>
      <c r="L105" s="56">
        <v>5.3</v>
      </c>
      <c r="M105" s="56">
        <v>6.1</v>
      </c>
      <c r="N105" s="1">
        <v>3.3</v>
      </c>
      <c r="O105" s="28">
        <v>2.2959999999999998</v>
      </c>
      <c r="P105" s="60">
        <v>15.1</v>
      </c>
      <c r="Q105" s="1">
        <v>78</v>
      </c>
      <c r="R105" s="60">
        <v>1.1000000000000001</v>
      </c>
      <c r="S105" s="1">
        <v>93</v>
      </c>
      <c r="T105" s="1">
        <v>58</v>
      </c>
      <c r="U105" s="1">
        <v>40</v>
      </c>
      <c r="V105" s="36">
        <v>5.8</v>
      </c>
    </row>
    <row r="106" spans="1:22" x14ac:dyDescent="0.2">
      <c r="A106" s="1">
        <v>11</v>
      </c>
      <c r="B106" s="1" t="s">
        <v>55</v>
      </c>
      <c r="C106" s="28">
        <v>2.3730000000000002</v>
      </c>
      <c r="D106" s="1">
        <v>12.5</v>
      </c>
      <c r="E106" s="1">
        <v>1</v>
      </c>
      <c r="F106" s="1">
        <v>3</v>
      </c>
      <c r="G106" s="11">
        <v>2.7875000000000001</v>
      </c>
      <c r="H106" s="12">
        <v>1.5425</v>
      </c>
      <c r="I106" s="13">
        <v>2.7959999999999998</v>
      </c>
      <c r="J106" s="18">
        <f t="shared" si="3"/>
        <v>2.2237734343837259</v>
      </c>
      <c r="K106" s="18">
        <f t="shared" si="2"/>
        <v>6.2885194107153097</v>
      </c>
      <c r="L106" s="56">
        <v>5.3</v>
      </c>
      <c r="M106" s="56">
        <v>6.1</v>
      </c>
      <c r="N106" s="1">
        <v>3.3</v>
      </c>
      <c r="O106" s="28">
        <v>2.2959999999999998</v>
      </c>
      <c r="P106" s="60">
        <v>15.1</v>
      </c>
      <c r="Q106" s="1">
        <v>78</v>
      </c>
      <c r="R106" s="60">
        <v>1.1000000000000001</v>
      </c>
      <c r="S106" s="1">
        <v>93</v>
      </c>
      <c r="T106" s="1">
        <v>58</v>
      </c>
      <c r="U106" s="1">
        <v>40</v>
      </c>
      <c r="V106" s="36">
        <v>5.8</v>
      </c>
    </row>
    <row r="107" spans="1:22" x14ac:dyDescent="0.2">
      <c r="A107" s="1">
        <v>11</v>
      </c>
      <c r="B107" s="1" t="s">
        <v>55</v>
      </c>
      <c r="C107" s="28">
        <v>2.3730000000000002</v>
      </c>
      <c r="D107" s="1">
        <v>12.5</v>
      </c>
      <c r="E107" s="5">
        <v>1</v>
      </c>
      <c r="F107" s="5">
        <v>4</v>
      </c>
      <c r="G107" s="14">
        <v>2.8140000000000001</v>
      </c>
      <c r="H107" s="9">
        <v>1.5575000000000001</v>
      </c>
      <c r="I107" s="15">
        <v>2.823</v>
      </c>
      <c r="J107" s="19">
        <f t="shared" si="3"/>
        <v>2.2236270248913477</v>
      </c>
      <c r="K107" s="19">
        <f t="shared" si="2"/>
        <v>6.2946892165466668</v>
      </c>
      <c r="L107" s="58">
        <v>5.3</v>
      </c>
      <c r="M107" s="58">
        <v>6.1</v>
      </c>
      <c r="N107" s="5">
        <v>3.3</v>
      </c>
      <c r="O107" s="53">
        <v>2.2959999999999998</v>
      </c>
      <c r="P107" s="62">
        <v>15.1</v>
      </c>
      <c r="Q107" s="5">
        <v>78</v>
      </c>
      <c r="R107" s="62">
        <v>1.1000000000000001</v>
      </c>
      <c r="S107" s="5">
        <v>93</v>
      </c>
      <c r="T107" s="5">
        <v>58</v>
      </c>
      <c r="U107" s="5">
        <v>40</v>
      </c>
      <c r="V107" s="43">
        <v>5.8</v>
      </c>
    </row>
    <row r="108" spans="1:22" x14ac:dyDescent="0.2">
      <c r="A108" s="1">
        <v>11</v>
      </c>
      <c r="B108" s="1" t="s">
        <v>56</v>
      </c>
      <c r="C108" s="28">
        <v>2.3730000000000002</v>
      </c>
      <c r="D108" s="1">
        <v>12.5</v>
      </c>
      <c r="E108" s="26">
        <v>2</v>
      </c>
      <c r="F108" s="26">
        <v>0</v>
      </c>
      <c r="G108" s="21">
        <v>24.012499999999999</v>
      </c>
      <c r="H108" s="22">
        <v>13.335000000000001</v>
      </c>
      <c r="I108" s="23">
        <v>24.263999999999999</v>
      </c>
      <c r="J108" s="24">
        <f t="shared" si="3"/>
        <v>2.1971360600237904</v>
      </c>
      <c r="K108" s="24">
        <f t="shared" si="2"/>
        <v>7.4110383470800567</v>
      </c>
      <c r="L108" s="56">
        <v>5.3</v>
      </c>
      <c r="M108" s="56">
        <v>6.1</v>
      </c>
      <c r="N108" s="1">
        <v>3.3</v>
      </c>
      <c r="O108" s="28">
        <v>2.2959999999999998</v>
      </c>
      <c r="P108" s="60">
        <v>15.1</v>
      </c>
      <c r="Q108" s="1">
        <v>78</v>
      </c>
      <c r="R108" s="60">
        <v>1.1000000000000001</v>
      </c>
      <c r="S108" s="1">
        <v>93</v>
      </c>
      <c r="T108" s="1">
        <v>58</v>
      </c>
      <c r="U108" s="1">
        <v>40</v>
      </c>
      <c r="V108" s="36">
        <v>5.8</v>
      </c>
    </row>
    <row r="109" spans="1:22" x14ac:dyDescent="0.2">
      <c r="A109" s="1">
        <v>11</v>
      </c>
      <c r="B109" s="1" t="s">
        <v>56</v>
      </c>
      <c r="C109" s="28">
        <v>2.3730000000000002</v>
      </c>
      <c r="D109" s="1">
        <v>12.5</v>
      </c>
      <c r="E109" s="1">
        <v>2</v>
      </c>
      <c r="F109" s="1">
        <v>1</v>
      </c>
      <c r="G109" s="11">
        <v>2.81</v>
      </c>
      <c r="H109" s="12">
        <v>1.5645</v>
      </c>
      <c r="I109" s="13">
        <v>2.8294999999999999</v>
      </c>
      <c r="J109" s="18">
        <f t="shared" si="3"/>
        <v>2.2213438735177866</v>
      </c>
      <c r="K109" s="18">
        <f t="shared" si="2"/>
        <v>6.3909029280326042</v>
      </c>
      <c r="L109" s="56">
        <v>5.3</v>
      </c>
      <c r="M109" s="56">
        <v>6.1</v>
      </c>
      <c r="N109" s="1">
        <v>3.3</v>
      </c>
      <c r="O109" s="28">
        <v>2.2959999999999998</v>
      </c>
      <c r="P109" s="60">
        <v>15.1</v>
      </c>
      <c r="Q109" s="1">
        <v>78</v>
      </c>
      <c r="R109" s="60">
        <v>1.1000000000000001</v>
      </c>
      <c r="S109" s="1">
        <v>93</v>
      </c>
      <c r="T109" s="1">
        <v>58</v>
      </c>
      <c r="U109" s="1">
        <v>40</v>
      </c>
      <c r="V109" s="36">
        <v>5.8</v>
      </c>
    </row>
    <row r="110" spans="1:22" x14ac:dyDescent="0.2">
      <c r="A110" s="1">
        <v>11</v>
      </c>
      <c r="B110" s="1" t="s">
        <v>56</v>
      </c>
      <c r="C110" s="28">
        <v>2.3730000000000002</v>
      </c>
      <c r="D110" s="1">
        <v>12.5</v>
      </c>
      <c r="E110" s="1">
        <v>2</v>
      </c>
      <c r="F110" s="1">
        <v>2</v>
      </c>
      <c r="G110" s="11">
        <v>2.7965</v>
      </c>
      <c r="H110" s="12">
        <v>1.5565</v>
      </c>
      <c r="I110" s="13">
        <v>2.8170000000000002</v>
      </c>
      <c r="J110" s="18">
        <f t="shared" si="3"/>
        <v>2.2185640618802061</v>
      </c>
      <c r="K110" s="18">
        <f t="shared" si="2"/>
        <v>6.5080462755918278</v>
      </c>
      <c r="L110" s="56">
        <v>5.3</v>
      </c>
      <c r="M110" s="56">
        <v>6.1</v>
      </c>
      <c r="N110" s="1">
        <v>3.3</v>
      </c>
      <c r="O110" s="28">
        <v>2.2959999999999998</v>
      </c>
      <c r="P110" s="60">
        <v>15.1</v>
      </c>
      <c r="Q110" s="1">
        <v>78</v>
      </c>
      <c r="R110" s="60">
        <v>1.1000000000000001</v>
      </c>
      <c r="S110" s="1">
        <v>93</v>
      </c>
      <c r="T110" s="1">
        <v>58</v>
      </c>
      <c r="U110" s="1">
        <v>40</v>
      </c>
      <c r="V110" s="36">
        <v>5.8</v>
      </c>
    </row>
    <row r="111" spans="1:22" x14ac:dyDescent="0.2">
      <c r="A111" s="1">
        <v>11</v>
      </c>
      <c r="B111" s="1" t="s">
        <v>56</v>
      </c>
      <c r="C111" s="28">
        <v>2.3730000000000002</v>
      </c>
      <c r="D111" s="1">
        <v>12.5</v>
      </c>
      <c r="E111" s="1">
        <v>2</v>
      </c>
      <c r="F111" s="1">
        <v>3</v>
      </c>
      <c r="G111" s="11">
        <v>2.8134999999999999</v>
      </c>
      <c r="H111" s="12">
        <v>1.5625</v>
      </c>
      <c r="I111" s="13">
        <v>2.8279999999999998</v>
      </c>
      <c r="J111" s="18">
        <f t="shared" si="3"/>
        <v>2.2232319241406562</v>
      </c>
      <c r="K111" s="18">
        <f t="shared" si="2"/>
        <v>6.311339058548004</v>
      </c>
      <c r="L111" s="56">
        <v>5.3</v>
      </c>
      <c r="M111" s="56">
        <v>6.1</v>
      </c>
      <c r="N111" s="1">
        <v>3.3</v>
      </c>
      <c r="O111" s="28">
        <v>2.2959999999999998</v>
      </c>
      <c r="P111" s="60">
        <v>15.1</v>
      </c>
      <c r="Q111" s="1">
        <v>78</v>
      </c>
      <c r="R111" s="60">
        <v>1.1000000000000001</v>
      </c>
      <c r="S111" s="1">
        <v>93</v>
      </c>
      <c r="T111" s="1">
        <v>58</v>
      </c>
      <c r="U111" s="1">
        <v>40</v>
      </c>
      <c r="V111" s="36">
        <v>5.8</v>
      </c>
    </row>
    <row r="112" spans="1:22" ht="16" thickBot="1" x14ac:dyDescent="0.25">
      <c r="A112" s="1">
        <v>11</v>
      </c>
      <c r="B112" s="1" t="s">
        <v>56</v>
      </c>
      <c r="C112" s="29">
        <v>2.3730000000000002</v>
      </c>
      <c r="D112" s="2">
        <v>12.5</v>
      </c>
      <c r="E112" s="2">
        <v>2</v>
      </c>
      <c r="F112" s="2">
        <v>4</v>
      </c>
      <c r="G112" s="16">
        <v>2.8340000000000001</v>
      </c>
      <c r="H112" s="10">
        <v>1.5734999999999999</v>
      </c>
      <c r="I112" s="17">
        <v>2.8490000000000002</v>
      </c>
      <c r="J112" s="20">
        <f t="shared" si="3"/>
        <v>2.2218737749901996</v>
      </c>
      <c r="K112" s="20">
        <f t="shared" si="2"/>
        <v>6.368572482503188</v>
      </c>
      <c r="L112" s="57">
        <v>5.3</v>
      </c>
      <c r="M112" s="57">
        <v>6.1</v>
      </c>
      <c r="N112" s="2">
        <v>3.3</v>
      </c>
      <c r="O112" s="29">
        <v>2.2959999999999998</v>
      </c>
      <c r="P112" s="61">
        <v>15.1</v>
      </c>
      <c r="Q112" s="2">
        <v>78</v>
      </c>
      <c r="R112" s="61">
        <v>1.1000000000000001</v>
      </c>
      <c r="S112" s="2">
        <v>93</v>
      </c>
      <c r="T112" s="2">
        <v>58</v>
      </c>
      <c r="U112" s="2">
        <v>40</v>
      </c>
      <c r="V112" s="4">
        <v>5.8</v>
      </c>
    </row>
    <row r="113" spans="1:22" x14ac:dyDescent="0.2">
      <c r="A113" s="1">
        <v>12</v>
      </c>
      <c r="B113" s="1" t="s">
        <v>57</v>
      </c>
      <c r="C113" s="28">
        <v>2.387</v>
      </c>
      <c r="D113" s="1">
        <v>19</v>
      </c>
      <c r="E113" s="26">
        <v>1</v>
      </c>
      <c r="F113" s="26">
        <v>0</v>
      </c>
      <c r="G113" s="21">
        <v>24.043500000000002</v>
      </c>
      <c r="H113" s="22">
        <v>13.394</v>
      </c>
      <c r="I113" s="23">
        <v>24.3125</v>
      </c>
      <c r="J113" s="24">
        <f t="shared" si="3"/>
        <v>2.2020881989284242</v>
      </c>
      <c r="K113" s="24">
        <f t="shared" si="2"/>
        <v>7.7466192321565046</v>
      </c>
      <c r="L113" s="56">
        <v>5</v>
      </c>
      <c r="M113" s="56">
        <v>6</v>
      </c>
      <c r="N113" s="1">
        <v>3.4</v>
      </c>
      <c r="O113" s="28">
        <v>2.3069999999999999</v>
      </c>
      <c r="P113" s="60">
        <v>14.6</v>
      </c>
      <c r="Q113" s="1">
        <v>77</v>
      </c>
      <c r="R113" s="60">
        <v>1.1000000000000001</v>
      </c>
      <c r="S113" s="1">
        <v>87</v>
      </c>
      <c r="T113" s="1">
        <v>56</v>
      </c>
      <c r="U113" s="1">
        <v>39</v>
      </c>
      <c r="V113" s="36">
        <v>5.7</v>
      </c>
    </row>
    <row r="114" spans="1:22" x14ac:dyDescent="0.2">
      <c r="A114" s="1">
        <v>12</v>
      </c>
      <c r="B114" s="1" t="s">
        <v>57</v>
      </c>
      <c r="C114" s="28">
        <v>2.387</v>
      </c>
      <c r="D114" s="1">
        <v>19</v>
      </c>
      <c r="E114" s="1">
        <v>1</v>
      </c>
      <c r="F114" s="1">
        <v>1</v>
      </c>
      <c r="G114" s="11">
        <v>2.7555000000000001</v>
      </c>
      <c r="H114" s="12">
        <v>1.5389999999999999</v>
      </c>
      <c r="I114" s="13">
        <v>2.77</v>
      </c>
      <c r="J114" s="18">
        <f t="shared" si="3"/>
        <v>2.2384240454914703</v>
      </c>
      <c r="K114" s="18">
        <f t="shared" si="2"/>
        <v>6.2243801637423379</v>
      </c>
      <c r="L114" s="56">
        <v>5</v>
      </c>
      <c r="M114" s="56">
        <v>6</v>
      </c>
      <c r="N114" s="1">
        <v>3.4</v>
      </c>
      <c r="O114" s="28">
        <v>2.3069999999999999</v>
      </c>
      <c r="P114" s="60">
        <v>14.6</v>
      </c>
      <c r="Q114" s="1">
        <v>77</v>
      </c>
      <c r="R114" s="60">
        <v>1.1000000000000001</v>
      </c>
      <c r="S114" s="1">
        <v>87</v>
      </c>
      <c r="T114" s="1">
        <v>56</v>
      </c>
      <c r="U114" s="1">
        <v>39</v>
      </c>
      <c r="V114" s="36">
        <v>5.7</v>
      </c>
    </row>
    <row r="115" spans="1:22" x14ac:dyDescent="0.2">
      <c r="A115" s="1">
        <v>12</v>
      </c>
      <c r="B115" s="1" t="s">
        <v>57</v>
      </c>
      <c r="C115" s="28">
        <v>2.387</v>
      </c>
      <c r="D115" s="1">
        <v>19</v>
      </c>
      <c r="E115" s="1">
        <v>1</v>
      </c>
      <c r="F115" s="1">
        <v>2</v>
      </c>
      <c r="G115" s="11">
        <v>2.802</v>
      </c>
      <c r="H115" s="12">
        <v>1.5585</v>
      </c>
      <c r="I115" s="13">
        <v>2.8170000000000002</v>
      </c>
      <c r="J115" s="18">
        <f t="shared" si="3"/>
        <v>2.2264600715137064</v>
      </c>
      <c r="K115" s="18">
        <f t="shared" si="2"/>
        <v>6.7255939876955884</v>
      </c>
      <c r="L115" s="56">
        <v>5</v>
      </c>
      <c r="M115" s="56">
        <v>6</v>
      </c>
      <c r="N115" s="1">
        <v>3.4</v>
      </c>
      <c r="O115" s="28">
        <v>2.3069999999999999</v>
      </c>
      <c r="P115" s="60">
        <v>14.6</v>
      </c>
      <c r="Q115" s="1">
        <v>77</v>
      </c>
      <c r="R115" s="60">
        <v>1.1000000000000001</v>
      </c>
      <c r="S115" s="1">
        <v>87</v>
      </c>
      <c r="T115" s="1">
        <v>56</v>
      </c>
      <c r="U115" s="1">
        <v>39</v>
      </c>
      <c r="V115" s="36">
        <v>5.7</v>
      </c>
    </row>
    <row r="116" spans="1:22" x14ac:dyDescent="0.2">
      <c r="A116" s="1">
        <v>12</v>
      </c>
      <c r="B116" s="1" t="s">
        <v>57</v>
      </c>
      <c r="C116" s="28">
        <v>2.387</v>
      </c>
      <c r="D116" s="1">
        <v>19</v>
      </c>
      <c r="E116" s="1">
        <v>1</v>
      </c>
      <c r="F116" s="1">
        <v>3</v>
      </c>
      <c r="G116" s="11">
        <v>2.7934999999999999</v>
      </c>
      <c r="H116" s="12">
        <v>1.5620000000000001</v>
      </c>
      <c r="I116" s="13">
        <v>2.8125</v>
      </c>
      <c r="J116" s="18">
        <f t="shared" si="3"/>
        <v>2.2339064374250301</v>
      </c>
      <c r="K116" s="18">
        <f t="shared" si="2"/>
        <v>6.4136389851265125</v>
      </c>
      <c r="L116" s="56">
        <v>5</v>
      </c>
      <c r="M116" s="56">
        <v>6</v>
      </c>
      <c r="N116" s="1">
        <v>3.4</v>
      </c>
      <c r="O116" s="28">
        <v>2.3069999999999999</v>
      </c>
      <c r="P116" s="60">
        <v>14.6</v>
      </c>
      <c r="Q116" s="1">
        <v>77</v>
      </c>
      <c r="R116" s="60">
        <v>1.1000000000000001</v>
      </c>
      <c r="S116" s="1">
        <v>87</v>
      </c>
      <c r="T116" s="1">
        <v>56</v>
      </c>
      <c r="U116" s="1">
        <v>39</v>
      </c>
      <c r="V116" s="36">
        <v>5.7</v>
      </c>
    </row>
    <row r="117" spans="1:22" x14ac:dyDescent="0.2">
      <c r="A117" s="1">
        <v>12</v>
      </c>
      <c r="B117" s="1" t="s">
        <v>57</v>
      </c>
      <c r="C117" s="28">
        <v>2.387</v>
      </c>
      <c r="D117" s="1">
        <v>19</v>
      </c>
      <c r="E117" s="5">
        <v>1</v>
      </c>
      <c r="F117" s="5">
        <v>4</v>
      </c>
      <c r="G117" s="14">
        <v>2.722</v>
      </c>
      <c r="H117" s="9">
        <v>1.5229999999999999</v>
      </c>
      <c r="I117" s="15">
        <v>2.742</v>
      </c>
      <c r="J117" s="19">
        <f t="shared" si="3"/>
        <v>2.2329778506972926</v>
      </c>
      <c r="K117" s="19">
        <f t="shared" si="2"/>
        <v>6.4525408170384324</v>
      </c>
      <c r="L117" s="58">
        <v>5</v>
      </c>
      <c r="M117" s="58">
        <v>6</v>
      </c>
      <c r="N117" s="5">
        <v>3.4</v>
      </c>
      <c r="O117" s="53">
        <v>2.3069999999999999</v>
      </c>
      <c r="P117" s="62">
        <v>14.6</v>
      </c>
      <c r="Q117" s="5">
        <v>77</v>
      </c>
      <c r="R117" s="62">
        <v>1.1000000000000001</v>
      </c>
      <c r="S117" s="5">
        <v>87</v>
      </c>
      <c r="T117" s="5">
        <v>56</v>
      </c>
      <c r="U117" s="5">
        <v>39</v>
      </c>
      <c r="V117" s="43">
        <v>5.7</v>
      </c>
    </row>
    <row r="118" spans="1:22" x14ac:dyDescent="0.2">
      <c r="A118" s="1">
        <v>12</v>
      </c>
      <c r="B118" s="1" t="s">
        <v>58</v>
      </c>
      <c r="C118" s="28">
        <v>2.387</v>
      </c>
      <c r="D118" s="1">
        <v>19</v>
      </c>
      <c r="E118" s="26">
        <v>2</v>
      </c>
      <c r="F118" s="26">
        <v>0</v>
      </c>
      <c r="G118" s="21">
        <v>23.968499999999999</v>
      </c>
      <c r="H118" s="22">
        <v>13.36</v>
      </c>
      <c r="I118" s="23">
        <v>24.222999999999999</v>
      </c>
      <c r="J118" s="24">
        <f t="shared" si="3"/>
        <v>2.2064346865506765</v>
      </c>
      <c r="K118" s="24">
        <f t="shared" si="2"/>
        <v>7.56452926054979</v>
      </c>
      <c r="L118" s="56">
        <v>5</v>
      </c>
      <c r="M118" s="56">
        <v>6</v>
      </c>
      <c r="N118" s="1">
        <v>3.4</v>
      </c>
      <c r="O118" s="28">
        <v>2.3069999999999999</v>
      </c>
      <c r="P118" s="60">
        <v>14.6</v>
      </c>
      <c r="Q118" s="1">
        <v>77</v>
      </c>
      <c r="R118" s="60">
        <v>1.1000000000000001</v>
      </c>
      <c r="S118" s="1">
        <v>87</v>
      </c>
      <c r="T118" s="1">
        <v>56</v>
      </c>
      <c r="U118" s="1">
        <v>39</v>
      </c>
      <c r="V118" s="36">
        <v>5.7</v>
      </c>
    </row>
    <row r="119" spans="1:22" x14ac:dyDescent="0.2">
      <c r="A119" s="1">
        <v>12</v>
      </c>
      <c r="B119" s="1" t="s">
        <v>58</v>
      </c>
      <c r="C119" s="28">
        <v>2.387</v>
      </c>
      <c r="D119" s="1">
        <v>19</v>
      </c>
      <c r="E119" s="1">
        <v>2</v>
      </c>
      <c r="F119" s="1">
        <v>1</v>
      </c>
      <c r="G119" s="11">
        <v>2.7450000000000001</v>
      </c>
      <c r="H119" s="12">
        <v>1.5409999999999999</v>
      </c>
      <c r="I119" s="13">
        <v>2.7665000000000002</v>
      </c>
      <c r="J119" s="18">
        <f t="shared" si="3"/>
        <v>2.2399020807833532</v>
      </c>
      <c r="K119" s="18">
        <f t="shared" si="2"/>
        <v>6.1624599588038009</v>
      </c>
      <c r="L119" s="56">
        <v>5</v>
      </c>
      <c r="M119" s="56">
        <v>6</v>
      </c>
      <c r="N119" s="1">
        <v>3.4</v>
      </c>
      <c r="O119" s="28">
        <v>2.3069999999999999</v>
      </c>
      <c r="P119" s="60">
        <v>14.6</v>
      </c>
      <c r="Q119" s="1">
        <v>77</v>
      </c>
      <c r="R119" s="60">
        <v>1.1000000000000001</v>
      </c>
      <c r="S119" s="1">
        <v>87</v>
      </c>
      <c r="T119" s="1">
        <v>56</v>
      </c>
      <c r="U119" s="1">
        <v>39</v>
      </c>
      <c r="V119" s="36">
        <v>5.7</v>
      </c>
    </row>
    <row r="120" spans="1:22" x14ac:dyDescent="0.2">
      <c r="A120" s="1">
        <v>12</v>
      </c>
      <c r="B120" s="1" t="s">
        <v>58</v>
      </c>
      <c r="C120" s="28">
        <v>2.387</v>
      </c>
      <c r="D120" s="1">
        <v>19</v>
      </c>
      <c r="E120" s="1">
        <v>2</v>
      </c>
      <c r="F120" s="1">
        <v>2</v>
      </c>
      <c r="G120" s="11">
        <v>2.7395</v>
      </c>
      <c r="H120" s="12">
        <v>1.5449999999999999</v>
      </c>
      <c r="I120" s="13">
        <v>2.7715000000000001</v>
      </c>
      <c r="J120" s="18">
        <f t="shared" si="3"/>
        <v>2.2335915205870362</v>
      </c>
      <c r="K120" s="18">
        <f t="shared" si="2"/>
        <v>6.4268319821099151</v>
      </c>
      <c r="L120" s="56">
        <v>5</v>
      </c>
      <c r="M120" s="56">
        <v>6</v>
      </c>
      <c r="N120" s="1">
        <v>3.4</v>
      </c>
      <c r="O120" s="28">
        <v>2.3069999999999999</v>
      </c>
      <c r="P120" s="60">
        <v>14.6</v>
      </c>
      <c r="Q120" s="1">
        <v>77</v>
      </c>
      <c r="R120" s="60">
        <v>1.1000000000000001</v>
      </c>
      <c r="S120" s="1">
        <v>87</v>
      </c>
      <c r="T120" s="1">
        <v>56</v>
      </c>
      <c r="U120" s="1">
        <v>39</v>
      </c>
      <c r="V120" s="36">
        <v>5.7</v>
      </c>
    </row>
    <row r="121" spans="1:22" x14ac:dyDescent="0.2">
      <c r="A121" s="1">
        <v>12</v>
      </c>
      <c r="B121" s="1" t="s">
        <v>58</v>
      </c>
      <c r="C121" s="28">
        <v>2.387</v>
      </c>
      <c r="D121" s="1">
        <v>19</v>
      </c>
      <c r="E121" s="1">
        <v>2</v>
      </c>
      <c r="F121" s="1">
        <v>3</v>
      </c>
      <c r="G121" s="11">
        <v>2.7974999999999999</v>
      </c>
      <c r="H121" s="12">
        <v>1.569</v>
      </c>
      <c r="I121" s="13">
        <v>2.8184999999999998</v>
      </c>
      <c r="J121" s="18">
        <f t="shared" si="3"/>
        <v>2.2388955582232897</v>
      </c>
      <c r="K121" s="18">
        <f t="shared" si="2"/>
        <v>6.2046268025433786</v>
      </c>
      <c r="L121" s="56">
        <v>5</v>
      </c>
      <c r="M121" s="56">
        <v>6</v>
      </c>
      <c r="N121" s="1">
        <v>3.4</v>
      </c>
      <c r="O121" s="28">
        <v>2.3069999999999999</v>
      </c>
      <c r="P121" s="60">
        <v>14.6</v>
      </c>
      <c r="Q121" s="1">
        <v>77</v>
      </c>
      <c r="R121" s="60">
        <v>1.1000000000000001</v>
      </c>
      <c r="S121" s="1">
        <v>87</v>
      </c>
      <c r="T121" s="1">
        <v>56</v>
      </c>
      <c r="U121" s="1">
        <v>39</v>
      </c>
      <c r="V121" s="36">
        <v>5.7</v>
      </c>
    </row>
    <row r="122" spans="1:22" ht="16" thickBot="1" x14ac:dyDescent="0.25">
      <c r="A122" s="1">
        <v>12</v>
      </c>
      <c r="B122" s="1" t="s">
        <v>58</v>
      </c>
      <c r="C122" s="29">
        <v>2.387</v>
      </c>
      <c r="D122" s="2">
        <v>19</v>
      </c>
      <c r="E122" s="2">
        <v>2</v>
      </c>
      <c r="F122" s="2">
        <v>4</v>
      </c>
      <c r="G122" s="16">
        <v>2.7124999999999999</v>
      </c>
      <c r="H122" s="10">
        <v>1.5175000000000001</v>
      </c>
      <c r="I122" s="17">
        <v>2.7309999999999999</v>
      </c>
      <c r="J122" s="20">
        <f t="shared" si="3"/>
        <v>2.235269880510919</v>
      </c>
      <c r="K122" s="20">
        <f t="shared" si="2"/>
        <v>6.3565194591152512</v>
      </c>
      <c r="L122" s="57">
        <v>5</v>
      </c>
      <c r="M122" s="57">
        <v>6</v>
      </c>
      <c r="N122" s="2">
        <v>3.4</v>
      </c>
      <c r="O122" s="29">
        <v>2.3069999999999999</v>
      </c>
      <c r="P122" s="61">
        <v>14.6</v>
      </c>
      <c r="Q122" s="2">
        <v>77</v>
      </c>
      <c r="R122" s="61">
        <v>1.1000000000000001</v>
      </c>
      <c r="S122" s="2">
        <v>87</v>
      </c>
      <c r="T122" s="2">
        <v>56</v>
      </c>
      <c r="U122" s="2">
        <v>39</v>
      </c>
      <c r="V122" s="4">
        <v>5.7</v>
      </c>
    </row>
    <row r="123" spans="1:22" x14ac:dyDescent="0.2">
      <c r="A123" s="1">
        <v>13</v>
      </c>
      <c r="B123" s="1" t="s">
        <v>59</v>
      </c>
      <c r="C123" s="54">
        <v>2.3780000000000001</v>
      </c>
      <c r="D123" s="1">
        <v>19</v>
      </c>
      <c r="E123" s="26">
        <v>1</v>
      </c>
      <c r="F123" s="26">
        <v>0</v>
      </c>
      <c r="G123" s="21">
        <v>24.011500000000002</v>
      </c>
      <c r="H123" s="22">
        <v>13.3445</v>
      </c>
      <c r="I123" s="23">
        <v>24.28</v>
      </c>
      <c r="J123" s="24">
        <f t="shared" si="3"/>
        <v>2.1957386493530247</v>
      </c>
      <c r="K123" s="24">
        <f t="shared" si="2"/>
        <v>7.6644806832201651</v>
      </c>
      <c r="L123" s="56">
        <v>5.15</v>
      </c>
      <c r="M123" s="56">
        <v>6.01</v>
      </c>
      <c r="N123" s="1">
        <v>3.2</v>
      </c>
      <c r="O123" s="28">
        <v>2.302</v>
      </c>
      <c r="P123" s="60">
        <v>14.8</v>
      </c>
      <c r="Q123" s="1">
        <v>78</v>
      </c>
      <c r="R123" s="60">
        <v>1.1000000000000001</v>
      </c>
      <c r="S123" s="1">
        <v>88</v>
      </c>
      <c r="T123" s="1">
        <v>50</v>
      </c>
      <c r="U123" s="1">
        <v>35</v>
      </c>
      <c r="V123" s="36">
        <v>5.5</v>
      </c>
    </row>
    <row r="124" spans="1:22" x14ac:dyDescent="0.2">
      <c r="A124" s="1">
        <v>13</v>
      </c>
      <c r="B124" s="1" t="s">
        <v>59</v>
      </c>
      <c r="C124" s="54">
        <v>2.3780000000000001</v>
      </c>
      <c r="D124" s="1">
        <v>19</v>
      </c>
      <c r="E124" s="1">
        <v>1</v>
      </c>
      <c r="F124" s="1">
        <v>1</v>
      </c>
      <c r="G124" s="11">
        <v>2.7210000000000001</v>
      </c>
      <c r="H124" s="12">
        <v>1.5065</v>
      </c>
      <c r="I124" s="13">
        <v>2.7244999999999999</v>
      </c>
      <c r="J124" s="18">
        <f t="shared" si="3"/>
        <v>2.2339901477832513</v>
      </c>
      <c r="K124" s="18">
        <f t="shared" si="2"/>
        <v>6.0559231377943163</v>
      </c>
      <c r="L124" s="56">
        <v>5.15</v>
      </c>
      <c r="M124" s="56">
        <v>6.01</v>
      </c>
      <c r="N124" s="1">
        <v>3.2</v>
      </c>
      <c r="O124" s="28">
        <v>2.302</v>
      </c>
      <c r="P124" s="60">
        <v>14.8</v>
      </c>
      <c r="Q124" s="1">
        <v>78</v>
      </c>
      <c r="R124" s="60">
        <v>1.1000000000000001</v>
      </c>
      <c r="S124" s="1">
        <v>88</v>
      </c>
      <c r="T124" s="1">
        <v>50</v>
      </c>
      <c r="U124" s="1">
        <v>35</v>
      </c>
      <c r="V124" s="36">
        <v>5.5</v>
      </c>
    </row>
    <row r="125" spans="1:22" x14ac:dyDescent="0.2">
      <c r="A125" s="1">
        <v>13</v>
      </c>
      <c r="B125" s="1" t="s">
        <v>59</v>
      </c>
      <c r="C125" s="54">
        <v>2.3780000000000001</v>
      </c>
      <c r="D125" s="1">
        <v>19</v>
      </c>
      <c r="E125" s="1">
        <v>1</v>
      </c>
      <c r="F125" s="1">
        <v>2</v>
      </c>
      <c r="G125" s="11">
        <v>2.6915</v>
      </c>
      <c r="H125" s="12">
        <v>1.4755</v>
      </c>
      <c r="I125" s="13">
        <v>2.6920000000000002</v>
      </c>
      <c r="J125" s="18">
        <f t="shared" si="3"/>
        <v>2.2124948623099052</v>
      </c>
      <c r="K125" s="18">
        <f t="shared" si="2"/>
        <v>6.9598459920140794</v>
      </c>
      <c r="L125" s="56">
        <v>5.15</v>
      </c>
      <c r="M125" s="56">
        <v>6.01</v>
      </c>
      <c r="N125" s="1">
        <v>3.2</v>
      </c>
      <c r="O125" s="28">
        <v>2.302</v>
      </c>
      <c r="P125" s="60">
        <v>14.8</v>
      </c>
      <c r="Q125" s="1">
        <v>78</v>
      </c>
      <c r="R125" s="60">
        <v>1.1000000000000001</v>
      </c>
      <c r="S125" s="1">
        <v>88</v>
      </c>
      <c r="T125" s="1">
        <v>50</v>
      </c>
      <c r="U125" s="1">
        <v>35</v>
      </c>
      <c r="V125" s="36">
        <v>5.5</v>
      </c>
    </row>
    <row r="126" spans="1:22" x14ac:dyDescent="0.2">
      <c r="A126" s="1">
        <v>13</v>
      </c>
      <c r="B126" s="1" t="s">
        <v>59</v>
      </c>
      <c r="C126" s="54">
        <v>2.3780000000000001</v>
      </c>
      <c r="D126" s="1">
        <v>19</v>
      </c>
      <c r="E126" s="1">
        <v>1</v>
      </c>
      <c r="F126" s="1">
        <v>3</v>
      </c>
      <c r="G126" s="11">
        <v>2.6989999999999998</v>
      </c>
      <c r="H126" s="12">
        <v>1.4830000000000001</v>
      </c>
      <c r="I126" s="13">
        <v>2.7065000000000001</v>
      </c>
      <c r="J126" s="18">
        <f t="shared" si="3"/>
        <v>2.205966489579076</v>
      </c>
      <c r="K126" s="18">
        <f t="shared" si="2"/>
        <v>7.2343780664812503</v>
      </c>
      <c r="L126" s="56">
        <v>5.15</v>
      </c>
      <c r="M126" s="56">
        <v>6.01</v>
      </c>
      <c r="N126" s="1">
        <v>3.2</v>
      </c>
      <c r="O126" s="28">
        <v>2.302</v>
      </c>
      <c r="P126" s="60">
        <v>14.8</v>
      </c>
      <c r="Q126" s="1">
        <v>78</v>
      </c>
      <c r="R126" s="60">
        <v>1.1000000000000001</v>
      </c>
      <c r="S126" s="1">
        <v>88</v>
      </c>
      <c r="T126" s="1">
        <v>50</v>
      </c>
      <c r="U126" s="1">
        <v>35</v>
      </c>
      <c r="V126" s="36">
        <v>5.5</v>
      </c>
    </row>
    <row r="127" spans="1:22" x14ac:dyDescent="0.2">
      <c r="A127" s="1">
        <v>13</v>
      </c>
      <c r="B127" s="1" t="s">
        <v>59</v>
      </c>
      <c r="C127" s="54">
        <v>2.3780000000000001</v>
      </c>
      <c r="D127" s="1">
        <v>19</v>
      </c>
      <c r="E127" s="5">
        <v>1</v>
      </c>
      <c r="F127" s="5">
        <v>4</v>
      </c>
      <c r="G127" s="14">
        <v>2.7629999999999999</v>
      </c>
      <c r="H127" s="9">
        <v>1.5309999999999999</v>
      </c>
      <c r="I127" s="15">
        <v>2.7665000000000002</v>
      </c>
      <c r="J127" s="19">
        <f t="shared" si="3"/>
        <v>2.2363415621205984</v>
      </c>
      <c r="K127" s="19">
        <f t="shared" si="2"/>
        <v>5.9570411219260544</v>
      </c>
      <c r="L127" s="58">
        <v>5.15</v>
      </c>
      <c r="M127" s="58">
        <v>6.01</v>
      </c>
      <c r="N127" s="5">
        <v>3.2</v>
      </c>
      <c r="O127" s="53">
        <v>2.302</v>
      </c>
      <c r="P127" s="62">
        <v>14.8</v>
      </c>
      <c r="Q127" s="5">
        <v>78</v>
      </c>
      <c r="R127" s="62">
        <v>1.1000000000000001</v>
      </c>
      <c r="S127" s="5">
        <v>88</v>
      </c>
      <c r="T127" s="5">
        <v>50</v>
      </c>
      <c r="U127" s="5">
        <v>35</v>
      </c>
      <c r="V127" s="43">
        <v>5.5</v>
      </c>
    </row>
    <row r="128" spans="1:22" x14ac:dyDescent="0.2">
      <c r="A128" s="1">
        <v>13</v>
      </c>
      <c r="B128" s="1" t="s">
        <v>60</v>
      </c>
      <c r="C128" s="54">
        <v>2.3780000000000001</v>
      </c>
      <c r="D128" s="1">
        <v>19</v>
      </c>
      <c r="E128" s="26">
        <v>2</v>
      </c>
      <c r="F128" s="26">
        <v>0</v>
      </c>
      <c r="G128" s="21">
        <v>24.089500000000001</v>
      </c>
      <c r="H128" s="22">
        <v>13.3535</v>
      </c>
      <c r="I128" s="23">
        <v>24.326000000000001</v>
      </c>
      <c r="J128" s="24">
        <f t="shared" si="3"/>
        <v>2.1954431533378904</v>
      </c>
      <c r="K128" s="24">
        <f t="shared" si="2"/>
        <v>7.6769069243948547</v>
      </c>
      <c r="L128" s="56">
        <v>5.15</v>
      </c>
      <c r="M128" s="56">
        <v>6.01</v>
      </c>
      <c r="N128" s="1">
        <v>3.2</v>
      </c>
      <c r="O128" s="28">
        <v>2.302</v>
      </c>
      <c r="P128" s="60">
        <v>14.8</v>
      </c>
      <c r="Q128" s="1">
        <v>78</v>
      </c>
      <c r="R128" s="60">
        <v>1.1000000000000001</v>
      </c>
      <c r="S128" s="1">
        <v>88</v>
      </c>
      <c r="T128" s="1">
        <v>50</v>
      </c>
      <c r="U128" s="1">
        <v>35</v>
      </c>
      <c r="V128" s="36">
        <v>5.5</v>
      </c>
    </row>
    <row r="129" spans="1:22" x14ac:dyDescent="0.2">
      <c r="A129" s="1">
        <v>13</v>
      </c>
      <c r="B129" s="1" t="s">
        <v>60</v>
      </c>
      <c r="C129" s="54">
        <v>2.3780000000000001</v>
      </c>
      <c r="D129" s="1">
        <v>19</v>
      </c>
      <c r="E129" s="1">
        <v>2</v>
      </c>
      <c r="F129" s="1">
        <v>1</v>
      </c>
      <c r="G129" s="11">
        <v>2.7749999999999999</v>
      </c>
      <c r="H129" s="12">
        <v>1.5325</v>
      </c>
      <c r="I129" s="13">
        <v>2.78</v>
      </c>
      <c r="J129" s="18">
        <f t="shared" si="3"/>
        <v>2.2244488977955914</v>
      </c>
      <c r="K129" s="18">
        <f t="shared" si="2"/>
        <v>6.4571531625066791</v>
      </c>
      <c r="L129" s="56">
        <v>5.15</v>
      </c>
      <c r="M129" s="56">
        <v>6.01</v>
      </c>
      <c r="N129" s="1">
        <v>3.2</v>
      </c>
      <c r="O129" s="28">
        <v>2.302</v>
      </c>
      <c r="P129" s="60">
        <v>14.8</v>
      </c>
      <c r="Q129" s="1">
        <v>78</v>
      </c>
      <c r="R129" s="60">
        <v>1.1000000000000001</v>
      </c>
      <c r="S129" s="1">
        <v>88</v>
      </c>
      <c r="T129" s="1">
        <v>50</v>
      </c>
      <c r="U129" s="1">
        <v>35</v>
      </c>
      <c r="V129" s="36">
        <v>5.5</v>
      </c>
    </row>
    <row r="130" spans="1:22" x14ac:dyDescent="0.2">
      <c r="A130" s="1">
        <v>13</v>
      </c>
      <c r="B130" s="1" t="s">
        <v>60</v>
      </c>
      <c r="C130" s="54">
        <v>2.3780000000000001</v>
      </c>
      <c r="D130" s="1">
        <v>19</v>
      </c>
      <c r="E130" s="1">
        <v>2</v>
      </c>
      <c r="F130" s="1">
        <v>2</v>
      </c>
      <c r="G130" s="11">
        <v>2.6659999999999999</v>
      </c>
      <c r="H130" s="12">
        <v>1.46</v>
      </c>
      <c r="I130" s="13">
        <v>2.6709999999999998</v>
      </c>
      <c r="J130" s="18">
        <f t="shared" si="3"/>
        <v>2.2014863748967799</v>
      </c>
      <c r="K130" s="18">
        <f t="shared" si="2"/>
        <v>7.4227764971917631</v>
      </c>
      <c r="L130" s="56">
        <v>5.15</v>
      </c>
      <c r="M130" s="56">
        <v>6.01</v>
      </c>
      <c r="N130" s="1">
        <v>3.2</v>
      </c>
      <c r="O130" s="28">
        <v>2.302</v>
      </c>
      <c r="P130" s="60">
        <v>14.8</v>
      </c>
      <c r="Q130" s="1">
        <v>78</v>
      </c>
      <c r="R130" s="60">
        <v>1.1000000000000001</v>
      </c>
      <c r="S130" s="1">
        <v>88</v>
      </c>
      <c r="T130" s="1">
        <v>50</v>
      </c>
      <c r="U130" s="1">
        <v>35</v>
      </c>
      <c r="V130" s="36">
        <v>5.5</v>
      </c>
    </row>
    <row r="131" spans="1:22" x14ac:dyDescent="0.2">
      <c r="A131" s="1">
        <v>13</v>
      </c>
      <c r="B131" s="1" t="s">
        <v>60</v>
      </c>
      <c r="C131" s="54">
        <v>2.3780000000000001</v>
      </c>
      <c r="D131" s="1">
        <v>19</v>
      </c>
      <c r="E131" s="1">
        <v>2</v>
      </c>
      <c r="F131" s="1">
        <v>3</v>
      </c>
      <c r="G131" s="11">
        <v>2.7435</v>
      </c>
      <c r="H131" s="12">
        <v>1.516</v>
      </c>
      <c r="I131" s="13">
        <v>2.7469999999999999</v>
      </c>
      <c r="J131" s="18">
        <f t="shared" si="3"/>
        <v>2.2286758732737613</v>
      </c>
      <c r="K131" s="18">
        <f t="shared" ref="K131:K194" si="4">+IF(G131=0,"",(1-(J131/C131))*100)</f>
        <v>6.2793997782270345</v>
      </c>
      <c r="L131" s="56">
        <v>5.15</v>
      </c>
      <c r="M131" s="56">
        <v>6.01</v>
      </c>
      <c r="N131" s="1">
        <v>3.2</v>
      </c>
      <c r="O131" s="28">
        <v>2.302</v>
      </c>
      <c r="P131" s="60">
        <v>14.8</v>
      </c>
      <c r="Q131" s="1">
        <v>78</v>
      </c>
      <c r="R131" s="60">
        <v>1.1000000000000001</v>
      </c>
      <c r="S131" s="1">
        <v>88</v>
      </c>
      <c r="T131" s="1">
        <v>50</v>
      </c>
      <c r="U131" s="1">
        <v>35</v>
      </c>
      <c r="V131" s="36">
        <v>5.5</v>
      </c>
    </row>
    <row r="132" spans="1:22" ht="16" thickBot="1" x14ac:dyDescent="0.25">
      <c r="A132" s="1">
        <v>13</v>
      </c>
      <c r="B132" s="1" t="s">
        <v>60</v>
      </c>
      <c r="C132" s="55">
        <v>2.3780000000000001</v>
      </c>
      <c r="D132" s="2">
        <v>19</v>
      </c>
      <c r="E132" s="2">
        <v>2</v>
      </c>
      <c r="F132" s="2">
        <v>4</v>
      </c>
      <c r="G132" s="16">
        <v>2.7324999999999999</v>
      </c>
      <c r="H132" s="10">
        <v>1.5065</v>
      </c>
      <c r="I132" s="17">
        <v>2.7360000000000002</v>
      </c>
      <c r="J132" s="20">
        <f t="shared" si="3"/>
        <v>2.2224481496543307</v>
      </c>
      <c r="K132" s="20">
        <f t="shared" si="4"/>
        <v>6.5412889127699492</v>
      </c>
      <c r="L132" s="57">
        <v>5.15</v>
      </c>
      <c r="M132" s="57">
        <v>6.01</v>
      </c>
      <c r="N132" s="2">
        <v>3.2</v>
      </c>
      <c r="O132" s="29">
        <v>2.302</v>
      </c>
      <c r="P132" s="61">
        <v>14.8</v>
      </c>
      <c r="Q132" s="2">
        <v>78</v>
      </c>
      <c r="R132" s="61">
        <v>1.1000000000000001</v>
      </c>
      <c r="S132" s="2">
        <v>88</v>
      </c>
      <c r="T132" s="2">
        <v>50</v>
      </c>
      <c r="U132" s="2">
        <v>35</v>
      </c>
      <c r="V132" s="4">
        <v>5.5</v>
      </c>
    </row>
    <row r="133" spans="1:22" x14ac:dyDescent="0.2">
      <c r="A133" s="1">
        <v>14</v>
      </c>
      <c r="B133" s="1" t="s">
        <v>61</v>
      </c>
      <c r="C133" s="28">
        <v>2.363</v>
      </c>
      <c r="D133" s="1">
        <v>19</v>
      </c>
      <c r="E133" s="26">
        <v>1</v>
      </c>
      <c r="F133" s="26">
        <v>0</v>
      </c>
      <c r="G133" s="21">
        <v>24.040500000000002</v>
      </c>
      <c r="H133" s="22">
        <v>13.240500000000001</v>
      </c>
      <c r="I133" s="23">
        <v>24.277999999999999</v>
      </c>
      <c r="J133" s="24">
        <f>+IF(G133=0,"",G133/(I133-H133))</f>
        <v>2.1780747451868634</v>
      </c>
      <c r="K133" s="24">
        <f t="shared" si="4"/>
        <v>7.8258677449486447</v>
      </c>
      <c r="L133" s="56">
        <v>5.46</v>
      </c>
      <c r="M133" s="56">
        <v>6.02</v>
      </c>
      <c r="N133" s="1">
        <v>2.5</v>
      </c>
      <c r="O133" s="28">
        <v>2.3039999999999998</v>
      </c>
      <c r="P133" s="60">
        <v>14.8</v>
      </c>
      <c r="Q133" s="1">
        <v>83</v>
      </c>
      <c r="R133" s="60">
        <v>0.9</v>
      </c>
      <c r="S133" s="1">
        <v>85</v>
      </c>
      <c r="T133" s="1">
        <v>51</v>
      </c>
      <c r="U133" s="1">
        <v>36</v>
      </c>
      <c r="V133" s="36">
        <v>5.0999999999999996</v>
      </c>
    </row>
    <row r="134" spans="1:22" x14ac:dyDescent="0.2">
      <c r="A134" s="1">
        <v>14</v>
      </c>
      <c r="B134" s="1" t="s">
        <v>61</v>
      </c>
      <c r="C134" s="28">
        <v>2.363</v>
      </c>
      <c r="D134" s="1">
        <v>19</v>
      </c>
      <c r="E134" s="1">
        <v>1</v>
      </c>
      <c r="F134" s="1">
        <v>1</v>
      </c>
      <c r="G134" s="11">
        <v>2.6920000000000002</v>
      </c>
      <c r="H134" s="12">
        <v>1.482</v>
      </c>
      <c r="I134" s="13">
        <v>2.6985000000000001</v>
      </c>
      <c r="J134" s="18">
        <f>+IF(G134=0,"",G134/(I134-H134))</f>
        <v>2.2129058775174681</v>
      </c>
      <c r="K134" s="18">
        <f t="shared" si="4"/>
        <v>6.351846063585775</v>
      </c>
      <c r="L134" s="56">
        <v>5.46</v>
      </c>
      <c r="M134" s="56">
        <v>6.02</v>
      </c>
      <c r="N134" s="1">
        <v>2.5</v>
      </c>
      <c r="O134" s="28">
        <v>2.3039999999999998</v>
      </c>
      <c r="P134" s="60">
        <v>14.8</v>
      </c>
      <c r="Q134" s="1">
        <v>83</v>
      </c>
      <c r="R134" s="60">
        <v>0.9</v>
      </c>
      <c r="S134" s="1">
        <v>85</v>
      </c>
      <c r="T134" s="1">
        <v>51</v>
      </c>
      <c r="U134" s="1">
        <v>36</v>
      </c>
      <c r="V134" s="36">
        <v>5.0999999999999996</v>
      </c>
    </row>
    <row r="135" spans="1:22" x14ac:dyDescent="0.2">
      <c r="A135" s="1">
        <v>14</v>
      </c>
      <c r="B135" s="1" t="s">
        <v>61</v>
      </c>
      <c r="C135" s="28">
        <v>2.363</v>
      </c>
      <c r="D135" s="1">
        <v>19</v>
      </c>
      <c r="E135" s="1">
        <v>1</v>
      </c>
      <c r="F135" s="1">
        <v>2</v>
      </c>
      <c r="G135" s="11">
        <v>2.589</v>
      </c>
      <c r="H135" s="12">
        <v>1.42</v>
      </c>
      <c r="I135" s="13">
        <v>2.593</v>
      </c>
      <c r="J135" s="18">
        <f t="shared" ref="J135:J198" si="5">+IF(G135=0,"",G135/(I135-H135))</f>
        <v>2.207161125319693</v>
      </c>
      <c r="K135" s="18">
        <f t="shared" si="4"/>
        <v>6.5949587253621207</v>
      </c>
      <c r="L135" s="56">
        <v>5.46</v>
      </c>
      <c r="M135" s="56">
        <v>6.02</v>
      </c>
      <c r="N135" s="1">
        <v>2.5</v>
      </c>
      <c r="O135" s="28">
        <v>2.3039999999999998</v>
      </c>
      <c r="P135" s="60">
        <v>14.8</v>
      </c>
      <c r="Q135" s="1">
        <v>83</v>
      </c>
      <c r="R135" s="60">
        <v>0.9</v>
      </c>
      <c r="S135" s="1">
        <v>85</v>
      </c>
      <c r="T135" s="1">
        <v>51</v>
      </c>
      <c r="U135" s="1">
        <v>36</v>
      </c>
      <c r="V135" s="36">
        <v>5.0999999999999996</v>
      </c>
    </row>
    <row r="136" spans="1:22" x14ac:dyDescent="0.2">
      <c r="A136" s="1">
        <v>14</v>
      </c>
      <c r="B136" s="1" t="s">
        <v>61</v>
      </c>
      <c r="C136" s="28">
        <v>2.363</v>
      </c>
      <c r="D136" s="1">
        <v>19</v>
      </c>
      <c r="E136" s="1">
        <v>1</v>
      </c>
      <c r="F136" s="1">
        <v>3</v>
      </c>
      <c r="G136" s="11">
        <v>2.6675</v>
      </c>
      <c r="H136" s="12">
        <v>1.4670000000000001</v>
      </c>
      <c r="I136" s="13">
        <v>2.6715</v>
      </c>
      <c r="J136" s="18">
        <f t="shared" si="5"/>
        <v>2.214611872146119</v>
      </c>
      <c r="K136" s="18">
        <f t="shared" si="4"/>
        <v>6.2796499303377491</v>
      </c>
      <c r="L136" s="56">
        <v>5.46</v>
      </c>
      <c r="M136" s="56">
        <v>6.02</v>
      </c>
      <c r="N136" s="1">
        <v>2.5</v>
      </c>
      <c r="O136" s="28">
        <v>2.3039999999999998</v>
      </c>
      <c r="P136" s="60">
        <v>14.8</v>
      </c>
      <c r="Q136" s="1">
        <v>83</v>
      </c>
      <c r="R136" s="60">
        <v>0.9</v>
      </c>
      <c r="S136" s="1">
        <v>85</v>
      </c>
      <c r="T136" s="1">
        <v>51</v>
      </c>
      <c r="U136" s="1">
        <v>36</v>
      </c>
      <c r="V136" s="36">
        <v>5.0999999999999996</v>
      </c>
    </row>
    <row r="137" spans="1:22" x14ac:dyDescent="0.2">
      <c r="A137" s="1">
        <v>14</v>
      </c>
      <c r="B137" s="1" t="s">
        <v>61</v>
      </c>
      <c r="C137" s="28">
        <v>2.363</v>
      </c>
      <c r="D137" s="1">
        <v>19</v>
      </c>
      <c r="E137" s="5">
        <v>1</v>
      </c>
      <c r="F137" s="5">
        <v>4</v>
      </c>
      <c r="G137" s="14">
        <v>2.5975000000000001</v>
      </c>
      <c r="H137" s="9">
        <v>1.4225000000000001</v>
      </c>
      <c r="I137" s="15">
        <v>2.5954999999999999</v>
      </c>
      <c r="J137" s="19">
        <f t="shared" si="5"/>
        <v>2.2144075021312877</v>
      </c>
      <c r="K137" s="19">
        <f t="shared" si="4"/>
        <v>6.2882986825523624</v>
      </c>
      <c r="L137" s="58">
        <v>5.46</v>
      </c>
      <c r="M137" s="58">
        <v>6.02</v>
      </c>
      <c r="N137" s="5">
        <v>2.5</v>
      </c>
      <c r="O137" s="53">
        <v>2.3039999999999998</v>
      </c>
      <c r="P137" s="62">
        <v>14.8</v>
      </c>
      <c r="Q137" s="5">
        <v>83</v>
      </c>
      <c r="R137" s="62">
        <v>0.9</v>
      </c>
      <c r="S137" s="5">
        <v>85</v>
      </c>
      <c r="T137" s="5">
        <v>51</v>
      </c>
      <c r="U137" s="5">
        <v>36</v>
      </c>
      <c r="V137" s="43">
        <v>5.0999999999999996</v>
      </c>
    </row>
    <row r="138" spans="1:22" x14ac:dyDescent="0.2">
      <c r="A138" s="1">
        <v>14</v>
      </c>
      <c r="B138" s="1" t="s">
        <v>62</v>
      </c>
      <c r="C138" s="28">
        <v>2.363</v>
      </c>
      <c r="D138" s="1">
        <v>19</v>
      </c>
      <c r="E138" s="26">
        <v>2</v>
      </c>
      <c r="F138" s="26">
        <v>0</v>
      </c>
      <c r="G138" s="21">
        <v>23.866</v>
      </c>
      <c r="H138" s="22">
        <v>13.161</v>
      </c>
      <c r="I138" s="23">
        <v>24.125</v>
      </c>
      <c r="J138" s="24">
        <f t="shared" si="5"/>
        <v>2.176760306457497</v>
      </c>
      <c r="K138" s="24">
        <f t="shared" si="4"/>
        <v>7.8814935904571781</v>
      </c>
      <c r="L138" s="56">
        <v>5.46</v>
      </c>
      <c r="M138" s="56">
        <v>6.02</v>
      </c>
      <c r="N138" s="1">
        <v>2.5</v>
      </c>
      <c r="O138" s="28">
        <v>2.3039999999999998</v>
      </c>
      <c r="P138" s="60">
        <v>14.8</v>
      </c>
      <c r="Q138" s="1">
        <v>83</v>
      </c>
      <c r="R138" s="60">
        <v>0.9</v>
      </c>
      <c r="S138" s="1">
        <v>85</v>
      </c>
      <c r="T138" s="1">
        <v>51</v>
      </c>
      <c r="U138" s="1">
        <v>36</v>
      </c>
      <c r="V138" s="36">
        <v>5.0999999999999996</v>
      </c>
    </row>
    <row r="139" spans="1:22" x14ac:dyDescent="0.2">
      <c r="A139" s="1">
        <v>14</v>
      </c>
      <c r="B139" s="1" t="s">
        <v>62</v>
      </c>
      <c r="C139" s="28">
        <v>2.363</v>
      </c>
      <c r="D139" s="1">
        <v>19</v>
      </c>
      <c r="E139" s="1">
        <v>2</v>
      </c>
      <c r="F139" s="1">
        <v>1</v>
      </c>
      <c r="G139" s="11">
        <v>2.6215000000000002</v>
      </c>
      <c r="H139" s="12">
        <v>1.4365000000000001</v>
      </c>
      <c r="I139" s="13">
        <v>2.625</v>
      </c>
      <c r="J139" s="18">
        <f t="shared" si="5"/>
        <v>2.2057214976861594</v>
      </c>
      <c r="K139" s="18">
        <f t="shared" si="4"/>
        <v>6.655882450860795</v>
      </c>
      <c r="L139" s="56">
        <v>5.46</v>
      </c>
      <c r="M139" s="56">
        <v>6.02</v>
      </c>
      <c r="N139" s="1">
        <v>2.5</v>
      </c>
      <c r="O139" s="28">
        <v>2.3039999999999998</v>
      </c>
      <c r="P139" s="60">
        <v>14.8</v>
      </c>
      <c r="Q139" s="1">
        <v>83</v>
      </c>
      <c r="R139" s="60">
        <v>0.9</v>
      </c>
      <c r="S139" s="1">
        <v>85</v>
      </c>
      <c r="T139" s="1">
        <v>51</v>
      </c>
      <c r="U139" s="1">
        <v>36</v>
      </c>
      <c r="V139" s="36">
        <v>5.0999999999999996</v>
      </c>
    </row>
    <row r="140" spans="1:22" x14ac:dyDescent="0.2">
      <c r="A140" s="1">
        <v>14</v>
      </c>
      <c r="B140" s="1" t="s">
        <v>62</v>
      </c>
      <c r="C140" s="28">
        <v>2.363</v>
      </c>
      <c r="D140" s="1">
        <v>19</v>
      </c>
      <c r="E140" s="1">
        <v>2</v>
      </c>
      <c r="F140" s="1">
        <v>2</v>
      </c>
      <c r="G140" s="11">
        <v>2.5640000000000001</v>
      </c>
      <c r="H140" s="12">
        <v>1.4039999999999999</v>
      </c>
      <c r="I140" s="13">
        <v>2.57</v>
      </c>
      <c r="J140" s="18">
        <f t="shared" si="5"/>
        <v>2.1989708404802748</v>
      </c>
      <c r="K140" s="18">
        <f t="shared" si="4"/>
        <v>6.9415640930903582</v>
      </c>
      <c r="L140" s="56">
        <v>5.46</v>
      </c>
      <c r="M140" s="56">
        <v>6.02</v>
      </c>
      <c r="N140" s="1">
        <v>2.5</v>
      </c>
      <c r="O140" s="28">
        <v>2.3039999999999998</v>
      </c>
      <c r="P140" s="60">
        <v>14.8</v>
      </c>
      <c r="Q140" s="1">
        <v>83</v>
      </c>
      <c r="R140" s="60">
        <v>0.9</v>
      </c>
      <c r="S140" s="1">
        <v>85</v>
      </c>
      <c r="T140" s="1">
        <v>51</v>
      </c>
      <c r="U140" s="1">
        <v>36</v>
      </c>
      <c r="V140" s="36">
        <v>5.0999999999999996</v>
      </c>
    </row>
    <row r="141" spans="1:22" x14ac:dyDescent="0.2">
      <c r="A141" s="1">
        <v>14</v>
      </c>
      <c r="B141" s="1" t="s">
        <v>62</v>
      </c>
      <c r="C141" s="28">
        <v>2.363</v>
      </c>
      <c r="D141" s="1">
        <v>19</v>
      </c>
      <c r="E141" s="1">
        <v>2</v>
      </c>
      <c r="F141" s="1">
        <v>3</v>
      </c>
      <c r="G141" s="11">
        <v>2.597</v>
      </c>
      <c r="H141" s="12">
        <v>1.425</v>
      </c>
      <c r="I141" s="13">
        <v>2.6019999999999999</v>
      </c>
      <c r="J141" s="18">
        <f t="shared" si="5"/>
        <v>2.2064570943075621</v>
      </c>
      <c r="K141" s="18">
        <f t="shared" si="4"/>
        <v>6.6247526742462037</v>
      </c>
      <c r="L141" s="56">
        <v>5.46</v>
      </c>
      <c r="M141" s="56">
        <v>6.02</v>
      </c>
      <c r="N141" s="1">
        <v>2.5</v>
      </c>
      <c r="O141" s="28">
        <v>2.3039999999999998</v>
      </c>
      <c r="P141" s="60">
        <v>14.8</v>
      </c>
      <c r="Q141" s="1">
        <v>83</v>
      </c>
      <c r="R141" s="60">
        <v>0.9</v>
      </c>
      <c r="S141" s="1">
        <v>85</v>
      </c>
      <c r="T141" s="1">
        <v>51</v>
      </c>
      <c r="U141" s="1">
        <v>36</v>
      </c>
      <c r="V141" s="36">
        <v>5.0999999999999996</v>
      </c>
    </row>
    <row r="142" spans="1:22" ht="16" thickBot="1" x14ac:dyDescent="0.25">
      <c r="A142" s="1">
        <v>14</v>
      </c>
      <c r="B142" s="1" t="s">
        <v>62</v>
      </c>
      <c r="C142" s="29">
        <v>2.363</v>
      </c>
      <c r="D142" s="2">
        <v>19</v>
      </c>
      <c r="E142" s="2">
        <v>2</v>
      </c>
      <c r="F142" s="2">
        <v>4</v>
      </c>
      <c r="G142" s="16">
        <v>2.5920000000000001</v>
      </c>
      <c r="H142" s="10">
        <v>1.4195</v>
      </c>
      <c r="I142" s="17">
        <v>2.5960000000000001</v>
      </c>
      <c r="J142" s="20">
        <f t="shared" si="5"/>
        <v>2.2031449213769654</v>
      </c>
      <c r="K142" s="20">
        <f t="shared" si="4"/>
        <v>6.7649208050374332</v>
      </c>
      <c r="L142" s="57">
        <v>5.46</v>
      </c>
      <c r="M142" s="57">
        <v>6.02</v>
      </c>
      <c r="N142" s="2">
        <v>2.5</v>
      </c>
      <c r="O142" s="29">
        <v>2.3039999999999998</v>
      </c>
      <c r="P142" s="61">
        <v>14.8</v>
      </c>
      <c r="Q142" s="2">
        <v>83</v>
      </c>
      <c r="R142" s="61">
        <v>0.9</v>
      </c>
      <c r="S142" s="2">
        <v>85</v>
      </c>
      <c r="T142" s="2">
        <v>51</v>
      </c>
      <c r="U142" s="2">
        <v>36</v>
      </c>
      <c r="V142" s="4">
        <v>5.0999999999999996</v>
      </c>
    </row>
    <row r="143" spans="1:22" x14ac:dyDescent="0.2">
      <c r="A143" s="1">
        <v>15</v>
      </c>
      <c r="B143" s="1" t="s">
        <v>63</v>
      </c>
      <c r="C143" s="28">
        <v>2.3679999999999999</v>
      </c>
      <c r="D143" s="1">
        <v>19</v>
      </c>
      <c r="E143" s="26">
        <v>1</v>
      </c>
      <c r="F143" s="26">
        <v>0</v>
      </c>
      <c r="G143" s="21">
        <v>24.047999999999998</v>
      </c>
      <c r="H143" s="22">
        <v>13.241</v>
      </c>
      <c r="I143" s="23">
        <v>24.22</v>
      </c>
      <c r="J143" s="24">
        <f t="shared" si="5"/>
        <v>2.1903634210766008</v>
      </c>
      <c r="K143" s="24">
        <f t="shared" si="4"/>
        <v>7.5015447180489474</v>
      </c>
      <c r="L143" s="56">
        <v>5.34</v>
      </c>
      <c r="M143" s="56">
        <v>5.75</v>
      </c>
      <c r="N143" s="1">
        <v>3.3</v>
      </c>
      <c r="O143" s="28">
        <v>2.2890000000000001</v>
      </c>
      <c r="P143" s="60">
        <v>15.3</v>
      </c>
      <c r="Q143" s="1">
        <v>78</v>
      </c>
      <c r="R143" s="60">
        <v>0.9</v>
      </c>
      <c r="S143" s="1">
        <v>81</v>
      </c>
      <c r="T143" s="1">
        <v>50</v>
      </c>
      <c r="U143" s="1">
        <v>35</v>
      </c>
      <c r="V143" s="36">
        <v>4.7</v>
      </c>
    </row>
    <row r="144" spans="1:22" x14ac:dyDescent="0.2">
      <c r="A144" s="1">
        <v>15</v>
      </c>
      <c r="B144" s="1" t="s">
        <v>63</v>
      </c>
      <c r="C144" s="28">
        <v>2.3679999999999999</v>
      </c>
      <c r="D144" s="1">
        <v>19</v>
      </c>
      <c r="E144" s="1">
        <v>1</v>
      </c>
      <c r="F144" s="1">
        <v>1</v>
      </c>
      <c r="G144" s="11">
        <v>2.5834999999999999</v>
      </c>
      <c r="H144" s="12">
        <v>1.4195</v>
      </c>
      <c r="I144" s="13">
        <v>2.5870000000000002</v>
      </c>
      <c r="J144" s="18">
        <f t="shared" si="5"/>
        <v>2.2128479657387574</v>
      </c>
      <c r="K144" s="18">
        <f t="shared" si="4"/>
        <v>6.5520284738700418</v>
      </c>
      <c r="L144" s="56">
        <v>5.34</v>
      </c>
      <c r="M144" s="56">
        <v>5.75</v>
      </c>
      <c r="N144" s="1">
        <v>3.3</v>
      </c>
      <c r="O144" s="28">
        <v>2.2890000000000001</v>
      </c>
      <c r="P144" s="60">
        <v>15.3</v>
      </c>
      <c r="Q144" s="1">
        <v>78</v>
      </c>
      <c r="R144" s="60">
        <v>0.9</v>
      </c>
      <c r="S144" s="1">
        <v>81</v>
      </c>
      <c r="T144" s="1">
        <v>50</v>
      </c>
      <c r="U144" s="1">
        <v>35</v>
      </c>
      <c r="V144" s="36">
        <v>4.7</v>
      </c>
    </row>
    <row r="145" spans="1:22" x14ac:dyDescent="0.2">
      <c r="A145" s="1">
        <v>15</v>
      </c>
      <c r="B145" s="1" t="s">
        <v>63</v>
      </c>
      <c r="C145" s="28">
        <v>2.3679999999999999</v>
      </c>
      <c r="D145" s="1">
        <v>19</v>
      </c>
      <c r="E145" s="1">
        <v>1</v>
      </c>
      <c r="F145" s="1">
        <v>2</v>
      </c>
      <c r="G145" s="11">
        <v>2.7214999999999998</v>
      </c>
      <c r="H145" s="12">
        <v>1.494</v>
      </c>
      <c r="I145" s="13">
        <v>2.7280000000000002</v>
      </c>
      <c r="J145" s="18">
        <f t="shared" si="5"/>
        <v>2.2054294975688813</v>
      </c>
      <c r="K145" s="18">
        <f t="shared" si="4"/>
        <v>6.865308379692503</v>
      </c>
      <c r="L145" s="56">
        <v>5.34</v>
      </c>
      <c r="M145" s="56">
        <v>5.75</v>
      </c>
      <c r="N145" s="1">
        <v>3.3</v>
      </c>
      <c r="O145" s="28">
        <v>2.2890000000000001</v>
      </c>
      <c r="P145" s="60">
        <v>15.3</v>
      </c>
      <c r="Q145" s="1">
        <v>78</v>
      </c>
      <c r="R145" s="60">
        <v>0.9</v>
      </c>
      <c r="S145" s="1">
        <v>81</v>
      </c>
      <c r="T145" s="1">
        <v>50</v>
      </c>
      <c r="U145" s="1">
        <v>35</v>
      </c>
      <c r="V145" s="36">
        <v>4.7</v>
      </c>
    </row>
    <row r="146" spans="1:22" x14ac:dyDescent="0.2">
      <c r="A146" s="1">
        <v>15</v>
      </c>
      <c r="B146" s="1" t="s">
        <v>63</v>
      </c>
      <c r="C146" s="28">
        <v>2.3679999999999999</v>
      </c>
      <c r="D146" s="1">
        <v>19</v>
      </c>
      <c r="E146" s="1">
        <v>1</v>
      </c>
      <c r="F146" s="1">
        <v>3</v>
      </c>
      <c r="G146" s="11">
        <v>2.6230000000000002</v>
      </c>
      <c r="H146" s="12">
        <v>1.4365000000000001</v>
      </c>
      <c r="I146" s="13">
        <v>2.6265000000000001</v>
      </c>
      <c r="J146" s="18">
        <f t="shared" si="5"/>
        <v>2.2042016806722691</v>
      </c>
      <c r="K146" s="18">
        <f t="shared" si="4"/>
        <v>6.9171587553940377</v>
      </c>
      <c r="L146" s="56">
        <v>5.34</v>
      </c>
      <c r="M146" s="56">
        <v>5.75</v>
      </c>
      <c r="N146" s="1">
        <v>3.3</v>
      </c>
      <c r="O146" s="28">
        <v>2.2890000000000001</v>
      </c>
      <c r="P146" s="60">
        <v>15.3</v>
      </c>
      <c r="Q146" s="1">
        <v>78</v>
      </c>
      <c r="R146" s="60">
        <v>0.9</v>
      </c>
      <c r="S146" s="1">
        <v>81</v>
      </c>
      <c r="T146" s="1">
        <v>50</v>
      </c>
      <c r="U146" s="1">
        <v>35</v>
      </c>
      <c r="V146" s="36">
        <v>4.7</v>
      </c>
    </row>
    <row r="147" spans="1:22" x14ac:dyDescent="0.2">
      <c r="A147" s="1">
        <v>15</v>
      </c>
      <c r="B147" s="1" t="s">
        <v>63</v>
      </c>
      <c r="C147" s="28">
        <v>2.3679999999999999</v>
      </c>
      <c r="D147" s="1">
        <v>19</v>
      </c>
      <c r="E147" s="5">
        <v>1</v>
      </c>
      <c r="F147" s="5">
        <v>4</v>
      </c>
      <c r="G147" s="14">
        <v>2.6604999999999999</v>
      </c>
      <c r="H147" s="9">
        <v>1.4535</v>
      </c>
      <c r="I147" s="15">
        <v>2.6644999999999999</v>
      </c>
      <c r="J147" s="19">
        <f t="shared" si="5"/>
        <v>2.1969446738232867</v>
      </c>
      <c r="K147" s="19">
        <f t="shared" si="4"/>
        <v>7.2236201932733612</v>
      </c>
      <c r="L147" s="58">
        <v>5.34</v>
      </c>
      <c r="M147" s="58">
        <v>5.75</v>
      </c>
      <c r="N147" s="5">
        <v>3.3</v>
      </c>
      <c r="O147" s="53">
        <v>2.2890000000000001</v>
      </c>
      <c r="P147" s="62">
        <v>15.3</v>
      </c>
      <c r="Q147" s="5">
        <v>78</v>
      </c>
      <c r="R147" s="62">
        <v>0.9</v>
      </c>
      <c r="S147" s="5">
        <v>81</v>
      </c>
      <c r="T147" s="5">
        <v>50</v>
      </c>
      <c r="U147" s="5">
        <v>35</v>
      </c>
      <c r="V147" s="43">
        <v>4.7</v>
      </c>
    </row>
    <row r="148" spans="1:22" x14ac:dyDescent="0.2">
      <c r="A148" s="1">
        <v>15</v>
      </c>
      <c r="B148" s="1" t="s">
        <v>64</v>
      </c>
      <c r="C148" s="28">
        <v>2.3679999999999999</v>
      </c>
      <c r="D148" s="1">
        <v>19</v>
      </c>
      <c r="E148" s="26">
        <v>2</v>
      </c>
      <c r="F148" s="26">
        <v>0</v>
      </c>
      <c r="G148" s="21">
        <v>24.02</v>
      </c>
      <c r="H148" s="22">
        <v>13.236000000000001</v>
      </c>
      <c r="I148" s="23">
        <v>24.219000000000001</v>
      </c>
      <c r="J148" s="24">
        <f t="shared" si="5"/>
        <v>2.1870162979149592</v>
      </c>
      <c r="K148" s="24">
        <f t="shared" si="4"/>
        <v>7.6428928245371957</v>
      </c>
      <c r="L148" s="56">
        <v>5.34</v>
      </c>
      <c r="M148" s="56">
        <v>5.75</v>
      </c>
      <c r="N148" s="1">
        <v>3.3</v>
      </c>
      <c r="O148" s="28">
        <v>2.2890000000000001</v>
      </c>
      <c r="P148" s="60">
        <v>15.3</v>
      </c>
      <c r="Q148" s="1">
        <v>78</v>
      </c>
      <c r="R148" s="60">
        <v>0.9</v>
      </c>
      <c r="S148" s="1">
        <v>81</v>
      </c>
      <c r="T148" s="1">
        <v>50</v>
      </c>
      <c r="U148" s="1">
        <v>35</v>
      </c>
      <c r="V148" s="36">
        <v>4.7</v>
      </c>
    </row>
    <row r="149" spans="1:22" x14ac:dyDescent="0.2">
      <c r="A149" s="1">
        <v>15</v>
      </c>
      <c r="B149" s="1" t="s">
        <v>64</v>
      </c>
      <c r="C149" s="28">
        <v>2.3679999999999999</v>
      </c>
      <c r="D149" s="1">
        <v>19</v>
      </c>
      <c r="E149" s="1">
        <v>2</v>
      </c>
      <c r="F149" s="1">
        <v>1</v>
      </c>
      <c r="G149" s="11">
        <v>2.6429999999999998</v>
      </c>
      <c r="H149" s="12">
        <v>1.4564999999999999</v>
      </c>
      <c r="I149" s="13">
        <v>2.6475</v>
      </c>
      <c r="J149" s="18">
        <f t="shared" si="5"/>
        <v>2.219143576826196</v>
      </c>
      <c r="K149" s="18">
        <f t="shared" si="4"/>
        <v>6.2861665191640164</v>
      </c>
      <c r="L149" s="56">
        <v>5.34</v>
      </c>
      <c r="M149" s="56">
        <v>5.75</v>
      </c>
      <c r="N149" s="1">
        <v>3.3</v>
      </c>
      <c r="O149" s="28">
        <v>2.2890000000000001</v>
      </c>
      <c r="P149" s="60">
        <v>15.3</v>
      </c>
      <c r="Q149" s="1">
        <v>78</v>
      </c>
      <c r="R149" s="60">
        <v>0.9</v>
      </c>
      <c r="S149" s="1">
        <v>81</v>
      </c>
      <c r="T149" s="1">
        <v>50</v>
      </c>
      <c r="U149" s="1">
        <v>35</v>
      </c>
      <c r="V149" s="36">
        <v>4.7</v>
      </c>
    </row>
    <row r="150" spans="1:22" x14ac:dyDescent="0.2">
      <c r="A150" s="1">
        <v>15</v>
      </c>
      <c r="B150" s="1" t="s">
        <v>64</v>
      </c>
      <c r="C150" s="28">
        <v>2.3679999999999999</v>
      </c>
      <c r="D150" s="1">
        <v>19</v>
      </c>
      <c r="E150" s="1">
        <v>2</v>
      </c>
      <c r="F150" s="1">
        <v>2</v>
      </c>
      <c r="G150" s="11">
        <v>2.6964999999999999</v>
      </c>
      <c r="H150" s="12">
        <v>1.4824999999999999</v>
      </c>
      <c r="I150" s="13">
        <v>2.7014999999999998</v>
      </c>
      <c r="J150" s="18">
        <f t="shared" si="5"/>
        <v>2.2120590648072191</v>
      </c>
      <c r="K150" s="18">
        <f t="shared" si="4"/>
        <v>6.5853435469924282</v>
      </c>
      <c r="L150" s="56">
        <v>5.34</v>
      </c>
      <c r="M150" s="56">
        <v>5.75</v>
      </c>
      <c r="N150" s="1">
        <v>3.3</v>
      </c>
      <c r="O150" s="28">
        <v>2.2890000000000001</v>
      </c>
      <c r="P150" s="60">
        <v>15.3</v>
      </c>
      <c r="Q150" s="1">
        <v>78</v>
      </c>
      <c r="R150" s="60">
        <v>0.9</v>
      </c>
      <c r="S150" s="1">
        <v>81</v>
      </c>
      <c r="T150" s="1">
        <v>50</v>
      </c>
      <c r="U150" s="1">
        <v>35</v>
      </c>
      <c r="V150" s="36">
        <v>4.7</v>
      </c>
    </row>
    <row r="151" spans="1:22" x14ac:dyDescent="0.2">
      <c r="A151" s="1">
        <v>15</v>
      </c>
      <c r="B151" s="1" t="s">
        <v>64</v>
      </c>
      <c r="C151" s="28">
        <v>2.3679999999999999</v>
      </c>
      <c r="D151" s="1">
        <v>19</v>
      </c>
      <c r="E151" s="1">
        <v>2</v>
      </c>
      <c r="F151" s="1">
        <v>3</v>
      </c>
      <c r="G151" s="11">
        <v>2.6635</v>
      </c>
      <c r="H151" s="12">
        <v>1.472</v>
      </c>
      <c r="I151" s="13">
        <v>2.6749999999999998</v>
      </c>
      <c r="J151" s="18">
        <f t="shared" si="5"/>
        <v>2.2140482128013304</v>
      </c>
      <c r="K151" s="18">
        <f t="shared" si="4"/>
        <v>6.5013423648086821</v>
      </c>
      <c r="L151" s="56">
        <v>5.34</v>
      </c>
      <c r="M151" s="56">
        <v>5.75</v>
      </c>
      <c r="N151" s="1">
        <v>3.3</v>
      </c>
      <c r="O151" s="28">
        <v>2.2890000000000001</v>
      </c>
      <c r="P151" s="60">
        <v>15.3</v>
      </c>
      <c r="Q151" s="1">
        <v>78</v>
      </c>
      <c r="R151" s="60">
        <v>0.9</v>
      </c>
      <c r="S151" s="1">
        <v>81</v>
      </c>
      <c r="T151" s="1">
        <v>50</v>
      </c>
      <c r="U151" s="1">
        <v>35</v>
      </c>
      <c r="V151" s="36">
        <v>4.7</v>
      </c>
    </row>
    <row r="152" spans="1:22" ht="16" thickBot="1" x14ac:dyDescent="0.25">
      <c r="A152" s="1">
        <v>15</v>
      </c>
      <c r="B152" s="1" t="s">
        <v>64</v>
      </c>
      <c r="C152" s="29">
        <v>2.3679999999999999</v>
      </c>
      <c r="D152" s="2">
        <v>19</v>
      </c>
      <c r="E152" s="2">
        <v>2</v>
      </c>
      <c r="F152" s="2">
        <v>4</v>
      </c>
      <c r="G152" s="16">
        <v>2.5895000000000001</v>
      </c>
      <c r="H152" s="10">
        <v>1.4185000000000001</v>
      </c>
      <c r="I152" s="17">
        <v>2.5920000000000001</v>
      </c>
      <c r="J152" s="20">
        <f t="shared" si="5"/>
        <v>2.2066467831273968</v>
      </c>
      <c r="K152" s="20">
        <f t="shared" si="4"/>
        <v>6.8139027395524909</v>
      </c>
      <c r="L152" s="57">
        <v>5.34</v>
      </c>
      <c r="M152" s="57">
        <v>5.75</v>
      </c>
      <c r="N152" s="2">
        <v>3.3</v>
      </c>
      <c r="O152" s="29">
        <v>2.2890000000000001</v>
      </c>
      <c r="P152" s="61">
        <v>15.3</v>
      </c>
      <c r="Q152" s="2">
        <v>78</v>
      </c>
      <c r="R152" s="61">
        <v>0.9</v>
      </c>
      <c r="S152" s="2">
        <v>81</v>
      </c>
      <c r="T152" s="2">
        <v>50</v>
      </c>
      <c r="U152" s="2">
        <v>35</v>
      </c>
      <c r="V152" s="4">
        <v>4.7</v>
      </c>
    </row>
    <row r="153" spans="1:22" x14ac:dyDescent="0.2">
      <c r="A153" s="1">
        <v>16</v>
      </c>
      <c r="B153" s="1" t="s">
        <v>65</v>
      </c>
      <c r="C153" s="28">
        <v>2.387</v>
      </c>
      <c r="D153" s="1">
        <v>19</v>
      </c>
      <c r="E153" s="26">
        <v>1</v>
      </c>
      <c r="F153" s="26">
        <v>0</v>
      </c>
      <c r="G153" s="21">
        <v>24.442</v>
      </c>
      <c r="H153" s="22">
        <v>13.570499999999999</v>
      </c>
      <c r="I153" s="23">
        <v>24.698499999999999</v>
      </c>
      <c r="J153" s="24">
        <f t="shared" si="5"/>
        <v>2.1964414090582314</v>
      </c>
      <c r="K153" s="24">
        <f t="shared" si="4"/>
        <v>7.9831835333795009</v>
      </c>
      <c r="L153" s="56">
        <v>4.7300000000000004</v>
      </c>
      <c r="M153" s="56">
        <v>5.55</v>
      </c>
      <c r="N153" s="1">
        <v>3.5</v>
      </c>
      <c r="O153" s="28">
        <v>2.302</v>
      </c>
      <c r="P153" s="60">
        <v>14.2</v>
      </c>
      <c r="Q153" s="1">
        <v>75</v>
      </c>
      <c r="R153" s="60">
        <v>1.1000000000000001</v>
      </c>
      <c r="S153" s="1">
        <v>88</v>
      </c>
      <c r="T153" s="1">
        <v>58</v>
      </c>
      <c r="U153" s="1">
        <v>39</v>
      </c>
      <c r="V153" s="36">
        <v>5.3</v>
      </c>
    </row>
    <row r="154" spans="1:22" x14ac:dyDescent="0.2">
      <c r="A154" s="1">
        <v>16</v>
      </c>
      <c r="B154" s="1" t="s">
        <v>65</v>
      </c>
      <c r="C154" s="28">
        <v>2.387</v>
      </c>
      <c r="D154" s="1">
        <v>19</v>
      </c>
      <c r="E154" s="1">
        <v>1</v>
      </c>
      <c r="F154" s="1">
        <v>1</v>
      </c>
      <c r="G154" s="11">
        <v>2.6905000000000001</v>
      </c>
      <c r="H154" s="12">
        <v>1.4930000000000001</v>
      </c>
      <c r="I154" s="13">
        <v>2.6949999999999998</v>
      </c>
      <c r="J154" s="18">
        <f t="shared" si="5"/>
        <v>2.2383527454242933</v>
      </c>
      <c r="K154" s="18">
        <f t="shared" si="4"/>
        <v>6.2273671795436414</v>
      </c>
      <c r="L154" s="56">
        <v>4.7300000000000004</v>
      </c>
      <c r="M154" s="56">
        <v>5.55</v>
      </c>
      <c r="N154" s="1">
        <v>3.5</v>
      </c>
      <c r="O154" s="28">
        <v>2.302</v>
      </c>
      <c r="P154" s="60">
        <v>14.2</v>
      </c>
      <c r="Q154" s="1">
        <v>75</v>
      </c>
      <c r="R154" s="60">
        <v>1.1000000000000001</v>
      </c>
      <c r="S154" s="1">
        <v>88</v>
      </c>
      <c r="T154" s="1">
        <v>58</v>
      </c>
      <c r="U154" s="1">
        <v>39</v>
      </c>
      <c r="V154" s="36">
        <v>5.3</v>
      </c>
    </row>
    <row r="155" spans="1:22" x14ac:dyDescent="0.2">
      <c r="A155" s="1">
        <v>16</v>
      </c>
      <c r="B155" s="1" t="s">
        <v>65</v>
      </c>
      <c r="C155" s="28">
        <v>2.387</v>
      </c>
      <c r="D155" s="1">
        <v>19</v>
      </c>
      <c r="E155" s="1">
        <v>1</v>
      </c>
      <c r="F155" s="1">
        <v>2</v>
      </c>
      <c r="G155" s="11">
        <v>2.6164999999999998</v>
      </c>
      <c r="H155" s="12">
        <v>1.4504999999999999</v>
      </c>
      <c r="I155" s="13">
        <v>2.62</v>
      </c>
      <c r="J155" s="18">
        <f t="shared" si="5"/>
        <v>2.2372808892689178</v>
      </c>
      <c r="K155" s="18">
        <f t="shared" si="4"/>
        <v>6.2722710821567773</v>
      </c>
      <c r="L155" s="56">
        <v>4.7300000000000004</v>
      </c>
      <c r="M155" s="56">
        <v>5.55</v>
      </c>
      <c r="N155" s="1">
        <v>3.5</v>
      </c>
      <c r="O155" s="28">
        <v>2.302</v>
      </c>
      <c r="P155" s="60">
        <v>14.2</v>
      </c>
      <c r="Q155" s="1">
        <v>75</v>
      </c>
      <c r="R155" s="60">
        <v>1.1000000000000001</v>
      </c>
      <c r="S155" s="1">
        <v>88</v>
      </c>
      <c r="T155" s="1">
        <v>58</v>
      </c>
      <c r="U155" s="1">
        <v>39</v>
      </c>
      <c r="V155" s="36">
        <v>5.3</v>
      </c>
    </row>
    <row r="156" spans="1:22" x14ac:dyDescent="0.2">
      <c r="A156" s="1">
        <v>16</v>
      </c>
      <c r="B156" s="1" t="s">
        <v>65</v>
      </c>
      <c r="C156" s="28">
        <v>2.387</v>
      </c>
      <c r="D156" s="1">
        <v>19</v>
      </c>
      <c r="E156" s="1">
        <v>1</v>
      </c>
      <c r="F156" s="1">
        <v>3</v>
      </c>
      <c r="G156" s="11">
        <v>2.7040000000000002</v>
      </c>
      <c r="H156" s="12">
        <v>1.4990000000000001</v>
      </c>
      <c r="I156" s="13">
        <v>2.706</v>
      </c>
      <c r="J156" s="18">
        <f t="shared" si="5"/>
        <v>2.2402651201325603</v>
      </c>
      <c r="K156" s="18">
        <f t="shared" si="4"/>
        <v>6.1472509370523509</v>
      </c>
      <c r="L156" s="56">
        <v>4.7300000000000004</v>
      </c>
      <c r="M156" s="56">
        <v>5.55</v>
      </c>
      <c r="N156" s="1">
        <v>3.5</v>
      </c>
      <c r="O156" s="28">
        <v>2.302</v>
      </c>
      <c r="P156" s="60">
        <v>14.2</v>
      </c>
      <c r="Q156" s="1">
        <v>75</v>
      </c>
      <c r="R156" s="60">
        <v>1.1000000000000001</v>
      </c>
      <c r="S156" s="1">
        <v>88</v>
      </c>
      <c r="T156" s="1">
        <v>58</v>
      </c>
      <c r="U156" s="1">
        <v>39</v>
      </c>
      <c r="V156" s="36">
        <v>5.3</v>
      </c>
    </row>
    <row r="157" spans="1:22" x14ac:dyDescent="0.2">
      <c r="A157" s="1">
        <v>16</v>
      </c>
      <c r="B157" s="1" t="s">
        <v>65</v>
      </c>
      <c r="C157" s="28">
        <v>2.387</v>
      </c>
      <c r="D157" s="1">
        <v>19</v>
      </c>
      <c r="E157" s="5">
        <v>1</v>
      </c>
      <c r="F157" s="5">
        <v>4</v>
      </c>
      <c r="G157" s="14">
        <v>2.6395</v>
      </c>
      <c r="H157" s="9">
        <v>1.4644999999999999</v>
      </c>
      <c r="I157" s="15">
        <v>2.6435</v>
      </c>
      <c r="J157" s="19">
        <f t="shared" si="5"/>
        <v>2.2387616624257842</v>
      </c>
      <c r="K157" s="19">
        <f t="shared" si="4"/>
        <v>6.2102361782243705</v>
      </c>
      <c r="L157" s="58">
        <v>4.7300000000000004</v>
      </c>
      <c r="M157" s="58">
        <v>5.55</v>
      </c>
      <c r="N157" s="5">
        <v>3.5</v>
      </c>
      <c r="O157" s="53">
        <v>2.302</v>
      </c>
      <c r="P157" s="62">
        <v>14.2</v>
      </c>
      <c r="Q157" s="5">
        <v>75</v>
      </c>
      <c r="R157" s="62">
        <v>1.1000000000000001</v>
      </c>
      <c r="S157" s="5">
        <v>88</v>
      </c>
      <c r="T157" s="5">
        <v>58</v>
      </c>
      <c r="U157" s="5">
        <v>39</v>
      </c>
      <c r="V157" s="43">
        <v>5.3</v>
      </c>
    </row>
    <row r="158" spans="1:22" x14ac:dyDescent="0.2">
      <c r="A158" s="1">
        <v>16</v>
      </c>
      <c r="B158" s="1" t="s">
        <v>66</v>
      </c>
      <c r="C158" s="28">
        <v>2.387</v>
      </c>
      <c r="D158" s="1">
        <v>19</v>
      </c>
      <c r="E158" s="26">
        <v>2</v>
      </c>
      <c r="F158" s="26">
        <v>0</v>
      </c>
      <c r="G158" s="21">
        <v>24.004000000000001</v>
      </c>
      <c r="H158" s="22">
        <v>13.323</v>
      </c>
      <c r="I158" s="23">
        <v>24.2455</v>
      </c>
      <c r="J158" s="24">
        <f t="shared" si="5"/>
        <v>2.1976653696498056</v>
      </c>
      <c r="K158" s="24">
        <f t="shared" si="4"/>
        <v>7.9319074298363823</v>
      </c>
      <c r="L158" s="56">
        <v>4.7300000000000004</v>
      </c>
      <c r="M158" s="56">
        <v>5.55</v>
      </c>
      <c r="N158" s="1">
        <v>3.5</v>
      </c>
      <c r="O158" s="28">
        <v>2.302</v>
      </c>
      <c r="P158" s="60">
        <v>14.2</v>
      </c>
      <c r="Q158" s="1">
        <v>75</v>
      </c>
      <c r="R158" s="60">
        <v>1.1000000000000001</v>
      </c>
      <c r="S158" s="1">
        <v>88</v>
      </c>
      <c r="T158" s="1">
        <v>58</v>
      </c>
      <c r="U158" s="1">
        <v>39</v>
      </c>
      <c r="V158" s="36">
        <v>5.3</v>
      </c>
    </row>
    <row r="159" spans="1:22" x14ac:dyDescent="0.2">
      <c r="A159" s="1">
        <v>16</v>
      </c>
      <c r="B159" s="1" t="s">
        <v>66</v>
      </c>
      <c r="C159" s="28">
        <v>2.387</v>
      </c>
      <c r="D159" s="1">
        <v>19</v>
      </c>
      <c r="E159" s="1">
        <v>2</v>
      </c>
      <c r="F159" s="1">
        <v>1</v>
      </c>
      <c r="G159" s="11">
        <v>2.7130000000000001</v>
      </c>
      <c r="H159" s="12">
        <v>1.5035000000000001</v>
      </c>
      <c r="I159" s="13">
        <v>2.7174999999999998</v>
      </c>
      <c r="J159" s="18">
        <f t="shared" si="5"/>
        <v>2.2347611202635917</v>
      </c>
      <c r="K159" s="18">
        <f t="shared" si="4"/>
        <v>6.3778332524678794</v>
      </c>
      <c r="L159" s="56">
        <v>4.7300000000000004</v>
      </c>
      <c r="M159" s="56">
        <v>5.55</v>
      </c>
      <c r="N159" s="1">
        <v>3.5</v>
      </c>
      <c r="O159" s="28">
        <v>2.302</v>
      </c>
      <c r="P159" s="60">
        <v>14.2</v>
      </c>
      <c r="Q159" s="1">
        <v>75</v>
      </c>
      <c r="R159" s="60">
        <v>1.1000000000000001</v>
      </c>
      <c r="S159" s="1">
        <v>88</v>
      </c>
      <c r="T159" s="1">
        <v>58</v>
      </c>
      <c r="U159" s="1">
        <v>39</v>
      </c>
      <c r="V159" s="36">
        <v>5.3</v>
      </c>
    </row>
    <row r="160" spans="1:22" x14ac:dyDescent="0.2">
      <c r="A160" s="1">
        <v>16</v>
      </c>
      <c r="B160" s="1" t="s">
        <v>66</v>
      </c>
      <c r="C160" s="28">
        <v>2.387</v>
      </c>
      <c r="D160" s="1">
        <v>19</v>
      </c>
      <c r="E160" s="1">
        <v>2</v>
      </c>
      <c r="F160" s="1">
        <v>2</v>
      </c>
      <c r="G160" s="11">
        <v>2.6095000000000002</v>
      </c>
      <c r="H160" s="12">
        <v>1.452</v>
      </c>
      <c r="I160" s="13">
        <v>2.6194999999999999</v>
      </c>
      <c r="J160" s="18">
        <f t="shared" si="5"/>
        <v>2.2351177730192719</v>
      </c>
      <c r="K160" s="18">
        <f t="shared" si="4"/>
        <v>6.3628917880489304</v>
      </c>
      <c r="L160" s="56">
        <v>4.7300000000000004</v>
      </c>
      <c r="M160" s="56">
        <v>5.55</v>
      </c>
      <c r="N160" s="1">
        <v>3.5</v>
      </c>
      <c r="O160" s="28">
        <v>2.302</v>
      </c>
      <c r="P160" s="60">
        <v>14.2</v>
      </c>
      <c r="Q160" s="1">
        <v>75</v>
      </c>
      <c r="R160" s="60">
        <v>1.1000000000000001</v>
      </c>
      <c r="S160" s="1">
        <v>88</v>
      </c>
      <c r="T160" s="1">
        <v>58</v>
      </c>
      <c r="U160" s="1">
        <v>39</v>
      </c>
      <c r="V160" s="36">
        <v>5.3</v>
      </c>
    </row>
    <row r="161" spans="1:22" x14ac:dyDescent="0.2">
      <c r="A161" s="1">
        <v>16</v>
      </c>
      <c r="B161" s="1" t="s">
        <v>66</v>
      </c>
      <c r="C161" s="28">
        <v>2.387</v>
      </c>
      <c r="D161" s="1">
        <v>19</v>
      </c>
      <c r="E161" s="1">
        <v>2</v>
      </c>
      <c r="F161" s="1">
        <v>3</v>
      </c>
      <c r="G161" s="11">
        <v>2.6629999999999998</v>
      </c>
      <c r="H161" s="12">
        <v>1.4770000000000001</v>
      </c>
      <c r="I161" s="13">
        <v>2.6655000000000002</v>
      </c>
      <c r="J161" s="18">
        <f t="shared" si="5"/>
        <v>2.2406394615060998</v>
      </c>
      <c r="K161" s="18">
        <f t="shared" si="4"/>
        <v>6.1315684329241833</v>
      </c>
      <c r="L161" s="56">
        <v>4.7300000000000004</v>
      </c>
      <c r="M161" s="56">
        <v>5.55</v>
      </c>
      <c r="N161" s="1">
        <v>3.5</v>
      </c>
      <c r="O161" s="28">
        <v>2.302</v>
      </c>
      <c r="P161" s="60">
        <v>14.2</v>
      </c>
      <c r="Q161" s="1">
        <v>75</v>
      </c>
      <c r="R161" s="60">
        <v>1.1000000000000001</v>
      </c>
      <c r="S161" s="1">
        <v>88</v>
      </c>
      <c r="T161" s="1">
        <v>58</v>
      </c>
      <c r="U161" s="1">
        <v>39</v>
      </c>
      <c r="V161" s="36">
        <v>5.3</v>
      </c>
    </row>
    <row r="162" spans="1:22" ht="16" thickBot="1" x14ac:dyDescent="0.25">
      <c r="A162" s="1">
        <v>16</v>
      </c>
      <c r="B162" s="1" t="s">
        <v>66</v>
      </c>
      <c r="C162" s="29">
        <v>2.387</v>
      </c>
      <c r="D162" s="2">
        <v>19</v>
      </c>
      <c r="E162" s="2">
        <v>2</v>
      </c>
      <c r="F162" s="2">
        <v>4</v>
      </c>
      <c r="G162" s="16">
        <v>2.6480000000000001</v>
      </c>
      <c r="H162" s="10">
        <v>1.47</v>
      </c>
      <c r="I162" s="17">
        <v>2.6520000000000001</v>
      </c>
      <c r="J162" s="20">
        <f t="shared" si="5"/>
        <v>2.2402707275803722</v>
      </c>
      <c r="K162" s="20">
        <f t="shared" si="4"/>
        <v>6.1470160209312059</v>
      </c>
      <c r="L162" s="57">
        <v>4.7300000000000004</v>
      </c>
      <c r="M162" s="57">
        <v>5.55</v>
      </c>
      <c r="N162" s="2">
        <v>3.5</v>
      </c>
      <c r="O162" s="29">
        <v>2.302</v>
      </c>
      <c r="P162" s="61">
        <v>14.2</v>
      </c>
      <c r="Q162" s="2">
        <v>75</v>
      </c>
      <c r="R162" s="61">
        <v>1.1000000000000001</v>
      </c>
      <c r="S162" s="2">
        <v>88</v>
      </c>
      <c r="T162" s="2">
        <v>58</v>
      </c>
      <c r="U162" s="2">
        <v>39</v>
      </c>
      <c r="V162" s="4">
        <v>5.3</v>
      </c>
    </row>
    <row r="163" spans="1:22" x14ac:dyDescent="0.2">
      <c r="A163" s="1">
        <v>17</v>
      </c>
      <c r="B163" s="1" t="s">
        <v>67</v>
      </c>
      <c r="C163" s="28">
        <v>2.39</v>
      </c>
      <c r="D163" s="1">
        <v>19</v>
      </c>
      <c r="E163" s="26">
        <v>1</v>
      </c>
      <c r="F163" s="26">
        <v>0</v>
      </c>
      <c r="G163" s="21">
        <v>24.115500000000001</v>
      </c>
      <c r="H163" s="22">
        <v>13.432</v>
      </c>
      <c r="I163" s="23">
        <v>24.3355</v>
      </c>
      <c r="J163" s="24">
        <f t="shared" si="5"/>
        <v>2.211721007016096</v>
      </c>
      <c r="K163" s="24">
        <f t="shared" si="4"/>
        <v>7.4593720913767374</v>
      </c>
      <c r="L163" s="56">
        <v>4.7300000000000004</v>
      </c>
      <c r="M163" s="56">
        <v>5.67</v>
      </c>
      <c r="N163" s="1">
        <v>3.3</v>
      </c>
      <c r="O163" s="28">
        <v>2.31</v>
      </c>
      <c r="P163" s="60">
        <v>14</v>
      </c>
      <c r="Q163" s="1">
        <v>76</v>
      </c>
      <c r="R163" s="60">
        <v>1.1000000000000001</v>
      </c>
      <c r="S163" s="1">
        <v>87</v>
      </c>
      <c r="T163" s="1">
        <v>56</v>
      </c>
      <c r="U163" s="1">
        <v>38</v>
      </c>
      <c r="V163" s="36">
        <v>5.3</v>
      </c>
    </row>
    <row r="164" spans="1:22" x14ac:dyDescent="0.2">
      <c r="A164" s="1">
        <v>17</v>
      </c>
      <c r="B164" s="1" t="s">
        <v>67</v>
      </c>
      <c r="C164" s="28">
        <v>2.39</v>
      </c>
      <c r="D164" s="1">
        <v>19</v>
      </c>
      <c r="E164" s="1">
        <v>1</v>
      </c>
      <c r="F164" s="1">
        <v>1</v>
      </c>
      <c r="G164" s="11">
        <v>2.4727999999999999</v>
      </c>
      <c r="H164" s="12">
        <v>1.3745000000000001</v>
      </c>
      <c r="I164" s="13">
        <v>2.4792999999999998</v>
      </c>
      <c r="J164" s="18">
        <f t="shared" si="5"/>
        <v>2.2382331643736428</v>
      </c>
      <c r="K164" s="18">
        <f t="shared" si="4"/>
        <v>6.3500768044500999</v>
      </c>
      <c r="L164" s="56">
        <v>4.7300000000000004</v>
      </c>
      <c r="M164" s="56">
        <v>5.67</v>
      </c>
      <c r="N164" s="1">
        <v>3.3</v>
      </c>
      <c r="O164" s="28">
        <v>2.31</v>
      </c>
      <c r="P164" s="60">
        <v>14</v>
      </c>
      <c r="Q164" s="1">
        <v>76</v>
      </c>
      <c r="R164" s="60">
        <v>1.1000000000000001</v>
      </c>
      <c r="S164" s="1">
        <v>87</v>
      </c>
      <c r="T164" s="1">
        <v>56</v>
      </c>
      <c r="U164" s="1">
        <v>38</v>
      </c>
      <c r="V164" s="36">
        <v>5.3</v>
      </c>
    </row>
    <row r="165" spans="1:22" x14ac:dyDescent="0.2">
      <c r="A165" s="1">
        <v>17</v>
      </c>
      <c r="B165" s="1" t="s">
        <v>67</v>
      </c>
      <c r="C165" s="28">
        <v>2.39</v>
      </c>
      <c r="D165" s="1">
        <v>19</v>
      </c>
      <c r="E165" s="1">
        <v>1</v>
      </c>
      <c r="F165" s="1">
        <v>2</v>
      </c>
      <c r="G165" s="11">
        <v>2.4573</v>
      </c>
      <c r="H165" s="12">
        <v>1.3634999999999999</v>
      </c>
      <c r="I165" s="13">
        <v>2.4601999999999999</v>
      </c>
      <c r="J165" s="18">
        <f t="shared" si="5"/>
        <v>2.2406309838606728</v>
      </c>
      <c r="K165" s="18">
        <f t="shared" si="4"/>
        <v>6.2497496292605597</v>
      </c>
      <c r="L165" s="56">
        <v>4.7300000000000004</v>
      </c>
      <c r="M165" s="56">
        <v>5.67</v>
      </c>
      <c r="N165" s="1">
        <v>3.3</v>
      </c>
      <c r="O165" s="28">
        <v>2.31</v>
      </c>
      <c r="P165" s="60">
        <v>14</v>
      </c>
      <c r="Q165" s="1">
        <v>76</v>
      </c>
      <c r="R165" s="60">
        <v>1.1000000000000001</v>
      </c>
      <c r="S165" s="1">
        <v>87</v>
      </c>
      <c r="T165" s="1">
        <v>56</v>
      </c>
      <c r="U165" s="1">
        <v>38</v>
      </c>
      <c r="V165" s="36">
        <v>5.3</v>
      </c>
    </row>
    <row r="166" spans="1:22" x14ac:dyDescent="0.2">
      <c r="A166" s="1">
        <v>17</v>
      </c>
      <c r="B166" s="1" t="s">
        <v>67</v>
      </c>
      <c r="C166" s="28">
        <v>2.39</v>
      </c>
      <c r="D166" s="1">
        <v>19</v>
      </c>
      <c r="E166" s="1">
        <v>1</v>
      </c>
      <c r="F166" s="1">
        <v>3</v>
      </c>
      <c r="G166" s="11">
        <v>2.4699</v>
      </c>
      <c r="H166" s="12">
        <v>1.3782000000000001</v>
      </c>
      <c r="I166" s="13">
        <v>2.4784999999999999</v>
      </c>
      <c r="J166" s="18">
        <f t="shared" si="5"/>
        <v>2.2447514314277925</v>
      </c>
      <c r="K166" s="18">
        <f t="shared" si="4"/>
        <v>6.0773459653643336</v>
      </c>
      <c r="L166" s="56">
        <v>4.7300000000000004</v>
      </c>
      <c r="M166" s="56">
        <v>5.67</v>
      </c>
      <c r="N166" s="1">
        <v>3.3</v>
      </c>
      <c r="O166" s="28">
        <v>2.31</v>
      </c>
      <c r="P166" s="60">
        <v>14</v>
      </c>
      <c r="Q166" s="1">
        <v>76</v>
      </c>
      <c r="R166" s="60">
        <v>1.1000000000000001</v>
      </c>
      <c r="S166" s="1">
        <v>87</v>
      </c>
      <c r="T166" s="1">
        <v>56</v>
      </c>
      <c r="U166" s="1">
        <v>38</v>
      </c>
      <c r="V166" s="36">
        <v>5.3</v>
      </c>
    </row>
    <row r="167" spans="1:22" x14ac:dyDescent="0.2">
      <c r="A167" s="1">
        <v>17</v>
      </c>
      <c r="B167" s="1" t="s">
        <v>67</v>
      </c>
      <c r="C167" s="28">
        <v>2.39</v>
      </c>
      <c r="D167" s="1">
        <v>19</v>
      </c>
      <c r="E167" s="5">
        <v>1</v>
      </c>
      <c r="F167" s="5">
        <v>4</v>
      </c>
      <c r="G167" s="14">
        <v>2.4424999999999999</v>
      </c>
      <c r="H167" s="9">
        <v>1.3534999999999999</v>
      </c>
      <c r="I167" s="15">
        <v>2.4455</v>
      </c>
      <c r="J167" s="19">
        <f t="shared" si="5"/>
        <v>2.2367216117216113</v>
      </c>
      <c r="K167" s="19">
        <f t="shared" si="4"/>
        <v>6.4133216852882313</v>
      </c>
      <c r="L167" s="58">
        <v>4.7300000000000004</v>
      </c>
      <c r="M167" s="58">
        <v>5.67</v>
      </c>
      <c r="N167" s="5">
        <v>3.3</v>
      </c>
      <c r="O167" s="53">
        <v>2.31</v>
      </c>
      <c r="P167" s="62">
        <v>14</v>
      </c>
      <c r="Q167" s="5">
        <v>76</v>
      </c>
      <c r="R167" s="62">
        <v>1.1000000000000001</v>
      </c>
      <c r="S167" s="5">
        <v>87</v>
      </c>
      <c r="T167" s="5">
        <v>56</v>
      </c>
      <c r="U167" s="5">
        <v>38</v>
      </c>
      <c r="V167" s="43">
        <v>5.3</v>
      </c>
    </row>
    <row r="168" spans="1:22" x14ac:dyDescent="0.2">
      <c r="A168" s="1">
        <v>17</v>
      </c>
      <c r="B168" s="1" t="s">
        <v>68</v>
      </c>
      <c r="C168" s="28">
        <v>2.39</v>
      </c>
      <c r="D168" s="1">
        <v>19</v>
      </c>
      <c r="E168" s="26">
        <v>2</v>
      </c>
      <c r="F168" s="26">
        <v>0</v>
      </c>
      <c r="G168" s="21">
        <v>23.998000000000001</v>
      </c>
      <c r="H168" s="22">
        <v>13.372</v>
      </c>
      <c r="I168" s="23">
        <v>24.271999999999998</v>
      </c>
      <c r="J168" s="24">
        <f t="shared" si="5"/>
        <v>2.2016513761467893</v>
      </c>
      <c r="K168" s="24">
        <f t="shared" si="4"/>
        <v>7.8806955587117482</v>
      </c>
      <c r="L168" s="56">
        <v>4.7300000000000004</v>
      </c>
      <c r="M168" s="56">
        <v>5.67</v>
      </c>
      <c r="N168" s="1">
        <v>3.3</v>
      </c>
      <c r="O168" s="28">
        <v>2.31</v>
      </c>
      <c r="P168" s="60">
        <v>14</v>
      </c>
      <c r="Q168" s="1">
        <v>76</v>
      </c>
      <c r="R168" s="60">
        <v>1.1000000000000001</v>
      </c>
      <c r="S168" s="1">
        <v>87</v>
      </c>
      <c r="T168" s="1">
        <v>56</v>
      </c>
      <c r="U168" s="1">
        <v>38</v>
      </c>
      <c r="V168" s="36">
        <v>5.3</v>
      </c>
    </row>
    <row r="169" spans="1:22" x14ac:dyDescent="0.2">
      <c r="A169" s="1">
        <v>17</v>
      </c>
      <c r="B169" s="1" t="s">
        <v>68</v>
      </c>
      <c r="C169" s="28">
        <v>2.39</v>
      </c>
      <c r="D169" s="1">
        <v>19</v>
      </c>
      <c r="E169" s="1">
        <v>2</v>
      </c>
      <c r="F169" s="1">
        <v>1</v>
      </c>
      <c r="G169" s="11">
        <v>2.4752000000000001</v>
      </c>
      <c r="H169" s="12">
        <v>1.3762000000000001</v>
      </c>
      <c r="I169" s="13">
        <v>2.4792000000000001</v>
      </c>
      <c r="J169" s="18">
        <f t="shared" si="5"/>
        <v>2.2440616500453312</v>
      </c>
      <c r="K169" s="18">
        <f t="shared" si="4"/>
        <v>6.1062071110740135</v>
      </c>
      <c r="L169" s="56">
        <v>4.7300000000000004</v>
      </c>
      <c r="M169" s="56">
        <v>5.67</v>
      </c>
      <c r="N169" s="1">
        <v>3.3</v>
      </c>
      <c r="O169" s="28">
        <v>2.31</v>
      </c>
      <c r="P169" s="60">
        <v>14</v>
      </c>
      <c r="Q169" s="1">
        <v>76</v>
      </c>
      <c r="R169" s="60">
        <v>1.1000000000000001</v>
      </c>
      <c r="S169" s="1">
        <v>87</v>
      </c>
      <c r="T169" s="1">
        <v>56</v>
      </c>
      <c r="U169" s="1">
        <v>38</v>
      </c>
      <c r="V169" s="36">
        <v>5.3</v>
      </c>
    </row>
    <row r="170" spans="1:22" x14ac:dyDescent="0.2">
      <c r="A170" s="1">
        <v>17</v>
      </c>
      <c r="B170" s="1" t="s">
        <v>68</v>
      </c>
      <c r="C170" s="28">
        <v>2.39</v>
      </c>
      <c r="D170" s="1">
        <v>19</v>
      </c>
      <c r="E170" s="1">
        <v>2</v>
      </c>
      <c r="F170" s="1">
        <v>2</v>
      </c>
      <c r="G170" s="11">
        <v>2.4632000000000001</v>
      </c>
      <c r="H170" s="12">
        <v>1.3717999999999999</v>
      </c>
      <c r="I170" s="13">
        <v>2.4695</v>
      </c>
      <c r="J170" s="18">
        <f t="shared" si="5"/>
        <v>2.2439646533661288</v>
      </c>
      <c r="K170" s="18">
        <f t="shared" si="4"/>
        <v>6.1102655495343665</v>
      </c>
      <c r="L170" s="56">
        <v>4.7300000000000004</v>
      </c>
      <c r="M170" s="56">
        <v>5.67</v>
      </c>
      <c r="N170" s="1">
        <v>3.3</v>
      </c>
      <c r="O170" s="28">
        <v>2.31</v>
      </c>
      <c r="P170" s="60">
        <v>14</v>
      </c>
      <c r="Q170" s="1">
        <v>76</v>
      </c>
      <c r="R170" s="60">
        <v>1.1000000000000001</v>
      </c>
      <c r="S170" s="1">
        <v>87</v>
      </c>
      <c r="T170" s="1">
        <v>56</v>
      </c>
      <c r="U170" s="1">
        <v>38</v>
      </c>
      <c r="V170" s="36">
        <v>5.3</v>
      </c>
    </row>
    <row r="171" spans="1:22" x14ac:dyDescent="0.2">
      <c r="A171" s="1">
        <v>17</v>
      </c>
      <c r="B171" s="1" t="s">
        <v>68</v>
      </c>
      <c r="C171" s="28">
        <v>2.39</v>
      </c>
      <c r="D171" s="1">
        <v>19</v>
      </c>
      <c r="E171" s="1">
        <v>2</v>
      </c>
      <c r="F171" s="1">
        <v>3</v>
      </c>
      <c r="G171" s="11">
        <v>2.4775</v>
      </c>
      <c r="H171" s="12">
        <v>1.37</v>
      </c>
      <c r="I171" s="13">
        <v>2.4796</v>
      </c>
      <c r="J171" s="18">
        <f t="shared" si="5"/>
        <v>2.2327865897620764</v>
      </c>
      <c r="K171" s="18">
        <f t="shared" si="4"/>
        <v>6.5779669555616653</v>
      </c>
      <c r="L171" s="56">
        <v>4.7300000000000004</v>
      </c>
      <c r="M171" s="56">
        <v>5.67</v>
      </c>
      <c r="N171" s="1">
        <v>3.3</v>
      </c>
      <c r="O171" s="28">
        <v>2.31</v>
      </c>
      <c r="P171" s="60">
        <v>14</v>
      </c>
      <c r="Q171" s="1">
        <v>76</v>
      </c>
      <c r="R171" s="60">
        <v>1.1000000000000001</v>
      </c>
      <c r="S171" s="1">
        <v>87</v>
      </c>
      <c r="T171" s="1">
        <v>56</v>
      </c>
      <c r="U171" s="1">
        <v>38</v>
      </c>
      <c r="V171" s="36">
        <v>5.3</v>
      </c>
    </row>
    <row r="172" spans="1:22" ht="16" thickBot="1" x14ac:dyDescent="0.25">
      <c r="A172" s="1">
        <v>17</v>
      </c>
      <c r="B172" s="1" t="s">
        <v>68</v>
      </c>
      <c r="C172" s="29">
        <v>2.39</v>
      </c>
      <c r="D172" s="2">
        <v>19</v>
      </c>
      <c r="E172" s="2">
        <v>2</v>
      </c>
      <c r="F172" s="2">
        <v>4</v>
      </c>
      <c r="G172" s="16">
        <v>2.4639000000000002</v>
      </c>
      <c r="H172" s="10">
        <v>1.3702000000000001</v>
      </c>
      <c r="I172" s="17">
        <v>2.4685000000000001</v>
      </c>
      <c r="J172" s="20">
        <f t="shared" si="5"/>
        <v>2.2433761267413277</v>
      </c>
      <c r="K172" s="20">
        <f t="shared" si="4"/>
        <v>6.1348900945051188</v>
      </c>
      <c r="L172" s="57">
        <v>4.7300000000000004</v>
      </c>
      <c r="M172" s="57">
        <v>5.67</v>
      </c>
      <c r="N172" s="2">
        <v>3.3</v>
      </c>
      <c r="O172" s="29">
        <v>2.31</v>
      </c>
      <c r="P172" s="61">
        <v>14</v>
      </c>
      <c r="Q172" s="2">
        <v>76</v>
      </c>
      <c r="R172" s="61">
        <v>1.1000000000000001</v>
      </c>
      <c r="S172" s="2">
        <v>87</v>
      </c>
      <c r="T172" s="2">
        <v>56</v>
      </c>
      <c r="U172" s="2">
        <v>38</v>
      </c>
      <c r="V172" s="4">
        <v>5.3</v>
      </c>
    </row>
    <row r="173" spans="1:22" x14ac:dyDescent="0.2">
      <c r="A173" s="1">
        <v>18</v>
      </c>
      <c r="B173" s="1" t="s">
        <v>69</v>
      </c>
      <c r="C173" s="28">
        <v>2.3929999999999998</v>
      </c>
      <c r="D173" s="1">
        <v>19</v>
      </c>
      <c r="E173" s="26">
        <v>1</v>
      </c>
      <c r="F173" s="26">
        <v>0</v>
      </c>
      <c r="G173" s="21">
        <v>24.0715</v>
      </c>
      <c r="H173" s="22">
        <v>13.452</v>
      </c>
      <c r="I173" s="23">
        <v>24.338999999999999</v>
      </c>
      <c r="J173" s="24">
        <f t="shared" si="5"/>
        <v>2.2110315054652339</v>
      </c>
      <c r="K173" s="24">
        <f t="shared" si="4"/>
        <v>7.6041995208844915</v>
      </c>
      <c r="L173" s="56">
        <v>4.62</v>
      </c>
      <c r="M173" s="56">
        <v>5.5</v>
      </c>
      <c r="N173" s="1">
        <v>3.4</v>
      </c>
      <c r="O173" s="28">
        <v>2.3109999999999999</v>
      </c>
      <c r="P173" s="60">
        <v>13.9</v>
      </c>
      <c r="Q173" s="1">
        <v>75</v>
      </c>
      <c r="R173" s="60">
        <v>1.1000000000000001</v>
      </c>
      <c r="S173" s="1">
        <v>85</v>
      </c>
      <c r="T173" s="1">
        <v>50</v>
      </c>
      <c r="U173" s="1">
        <v>34</v>
      </c>
      <c r="V173" s="36">
        <v>5</v>
      </c>
    </row>
    <row r="174" spans="1:22" x14ac:dyDescent="0.2">
      <c r="A174" s="1">
        <v>18</v>
      </c>
      <c r="B174" s="1" t="s">
        <v>69</v>
      </c>
      <c r="C174" s="28">
        <v>2.3929999999999998</v>
      </c>
      <c r="D174" s="1">
        <v>19</v>
      </c>
      <c r="E174" s="1">
        <v>1</v>
      </c>
      <c r="F174" s="1">
        <v>1</v>
      </c>
      <c r="G174" s="11">
        <v>2.641</v>
      </c>
      <c r="H174" s="12">
        <v>1.4830000000000001</v>
      </c>
      <c r="I174" s="13">
        <v>2.6665000000000001</v>
      </c>
      <c r="J174" s="18">
        <f t="shared" si="5"/>
        <v>2.2315166877904522</v>
      </c>
      <c r="K174" s="18">
        <f t="shared" si="4"/>
        <v>6.748153456312056</v>
      </c>
      <c r="L174" s="56">
        <v>4.62</v>
      </c>
      <c r="M174" s="56">
        <v>5.5</v>
      </c>
      <c r="N174" s="1">
        <v>3.4</v>
      </c>
      <c r="O174" s="28">
        <v>2.3109999999999999</v>
      </c>
      <c r="P174" s="60">
        <v>13.9</v>
      </c>
      <c r="Q174" s="1">
        <v>75</v>
      </c>
      <c r="R174" s="60">
        <v>1.1000000000000001</v>
      </c>
      <c r="S174" s="1">
        <v>85</v>
      </c>
      <c r="T174" s="1">
        <v>50</v>
      </c>
      <c r="U174" s="1">
        <v>34</v>
      </c>
      <c r="V174" s="36">
        <v>5</v>
      </c>
    </row>
    <row r="175" spans="1:22" x14ac:dyDescent="0.2">
      <c r="A175" s="1">
        <v>18</v>
      </c>
      <c r="B175" s="1" t="s">
        <v>69</v>
      </c>
      <c r="C175" s="28">
        <v>2.3929999999999998</v>
      </c>
      <c r="D175" s="1">
        <v>19</v>
      </c>
      <c r="E175" s="7">
        <v>1</v>
      </c>
      <c r="F175" s="7">
        <v>2</v>
      </c>
      <c r="G175" s="11">
        <v>2.6764999999999999</v>
      </c>
      <c r="H175" s="12">
        <v>1.5044999999999999</v>
      </c>
      <c r="I175" s="13">
        <v>2.6920000000000002</v>
      </c>
      <c r="J175" s="18">
        <f t="shared" si="5"/>
        <v>2.253894736842105</v>
      </c>
      <c r="K175" s="18">
        <f t="shared" si="4"/>
        <v>5.8130072360173308</v>
      </c>
      <c r="L175" s="56">
        <v>4.62</v>
      </c>
      <c r="M175" s="56">
        <v>5.5</v>
      </c>
      <c r="N175" s="1">
        <v>3.4</v>
      </c>
      <c r="O175" s="28">
        <v>2.3109999999999999</v>
      </c>
      <c r="P175" s="60">
        <v>13.9</v>
      </c>
      <c r="Q175" s="1">
        <v>75</v>
      </c>
      <c r="R175" s="60">
        <v>1.1000000000000001</v>
      </c>
      <c r="S175" s="1">
        <v>85</v>
      </c>
      <c r="T175" s="1">
        <v>50</v>
      </c>
      <c r="U175" s="1">
        <v>34</v>
      </c>
      <c r="V175" s="36">
        <v>5</v>
      </c>
    </row>
    <row r="176" spans="1:22" x14ac:dyDescent="0.2">
      <c r="A176" s="1">
        <v>18</v>
      </c>
      <c r="B176" s="1" t="s">
        <v>69</v>
      </c>
      <c r="C176" s="28">
        <v>2.3929999999999998</v>
      </c>
      <c r="D176" s="1">
        <v>19</v>
      </c>
      <c r="E176" s="1">
        <v>1</v>
      </c>
      <c r="F176" s="1">
        <v>3</v>
      </c>
      <c r="G176" s="11">
        <v>2.6840000000000002</v>
      </c>
      <c r="H176" s="12">
        <v>1.5029999999999999</v>
      </c>
      <c r="I176" s="13">
        <v>2.7054999999999998</v>
      </c>
      <c r="J176" s="18">
        <f t="shared" si="5"/>
        <v>2.2320166320166321</v>
      </c>
      <c r="K176" s="18">
        <f t="shared" si="4"/>
        <v>6.7272615120504646</v>
      </c>
      <c r="L176" s="56">
        <v>4.62</v>
      </c>
      <c r="M176" s="56">
        <v>5.5</v>
      </c>
      <c r="N176" s="1">
        <v>3.4</v>
      </c>
      <c r="O176" s="28">
        <v>2.3109999999999999</v>
      </c>
      <c r="P176" s="60">
        <v>13.9</v>
      </c>
      <c r="Q176" s="1">
        <v>75</v>
      </c>
      <c r="R176" s="60">
        <v>1.1000000000000001</v>
      </c>
      <c r="S176" s="1">
        <v>85</v>
      </c>
      <c r="T176" s="1">
        <v>50</v>
      </c>
      <c r="U176" s="1">
        <v>34</v>
      </c>
      <c r="V176" s="36">
        <v>5</v>
      </c>
    </row>
    <row r="177" spans="1:22" x14ac:dyDescent="0.2">
      <c r="A177" s="1">
        <v>18</v>
      </c>
      <c r="B177" s="1" t="s">
        <v>69</v>
      </c>
      <c r="C177" s="28">
        <v>2.3929999999999998</v>
      </c>
      <c r="D177" s="1">
        <v>19</v>
      </c>
      <c r="E177" s="5">
        <v>1</v>
      </c>
      <c r="F177" s="5">
        <v>4</v>
      </c>
      <c r="G177" s="14">
        <v>2.5485000000000002</v>
      </c>
      <c r="H177" s="9">
        <v>1.4225000000000001</v>
      </c>
      <c r="I177" s="15">
        <v>2.5575000000000001</v>
      </c>
      <c r="J177" s="19">
        <f t="shared" si="5"/>
        <v>2.2453744493392072</v>
      </c>
      <c r="K177" s="19">
        <f t="shared" si="4"/>
        <v>6.1690576958124854</v>
      </c>
      <c r="L177" s="58">
        <v>4.62</v>
      </c>
      <c r="M177" s="58">
        <v>5.5</v>
      </c>
      <c r="N177" s="5">
        <v>3.4</v>
      </c>
      <c r="O177" s="53">
        <v>2.3109999999999999</v>
      </c>
      <c r="P177" s="62">
        <v>13.9</v>
      </c>
      <c r="Q177" s="5">
        <v>75</v>
      </c>
      <c r="R177" s="62">
        <v>1.1000000000000001</v>
      </c>
      <c r="S177" s="5">
        <v>85</v>
      </c>
      <c r="T177" s="5">
        <v>50</v>
      </c>
      <c r="U177" s="5">
        <v>34</v>
      </c>
      <c r="V177" s="43">
        <v>5</v>
      </c>
    </row>
    <row r="178" spans="1:22" x14ac:dyDescent="0.2">
      <c r="A178" s="1">
        <v>18</v>
      </c>
      <c r="B178" s="1" t="s">
        <v>70</v>
      </c>
      <c r="C178" s="28">
        <v>2.3929999999999998</v>
      </c>
      <c r="D178" s="1">
        <v>19</v>
      </c>
      <c r="E178" s="26">
        <v>2</v>
      </c>
      <c r="F178" s="26">
        <v>0</v>
      </c>
      <c r="G178" s="21">
        <v>24.022500000000001</v>
      </c>
      <c r="H178" s="22">
        <v>13.432499999999999</v>
      </c>
      <c r="I178" s="23">
        <v>24.312000000000001</v>
      </c>
      <c r="J178" s="24">
        <f t="shared" si="5"/>
        <v>2.2080518406176752</v>
      </c>
      <c r="K178" s="24">
        <f t="shared" si="4"/>
        <v>7.7287153941631654</v>
      </c>
      <c r="L178" s="56">
        <v>4.62</v>
      </c>
      <c r="M178" s="56">
        <v>5.5</v>
      </c>
      <c r="N178" s="1">
        <v>3.4</v>
      </c>
      <c r="O178" s="28">
        <v>2.3109999999999999</v>
      </c>
      <c r="P178" s="60">
        <v>13.9</v>
      </c>
      <c r="Q178" s="1">
        <v>75</v>
      </c>
      <c r="R178" s="60">
        <v>1.1000000000000001</v>
      </c>
      <c r="S178" s="1">
        <v>85</v>
      </c>
      <c r="T178" s="1">
        <v>50</v>
      </c>
      <c r="U178" s="1">
        <v>34</v>
      </c>
      <c r="V178" s="36">
        <v>5</v>
      </c>
    </row>
    <row r="179" spans="1:22" x14ac:dyDescent="0.2">
      <c r="A179" s="1">
        <v>18</v>
      </c>
      <c r="B179" s="1" t="s">
        <v>70</v>
      </c>
      <c r="C179" s="28">
        <v>2.3929999999999998</v>
      </c>
      <c r="D179" s="1">
        <v>19</v>
      </c>
      <c r="E179" s="1">
        <v>2</v>
      </c>
      <c r="F179" s="1">
        <v>1</v>
      </c>
      <c r="G179" s="11">
        <v>2.6265000000000001</v>
      </c>
      <c r="H179" s="12">
        <v>1.46</v>
      </c>
      <c r="I179" s="13">
        <v>2.633</v>
      </c>
      <c r="J179" s="18">
        <f t="shared" si="5"/>
        <v>2.2391304347826089</v>
      </c>
      <c r="K179" s="18">
        <f t="shared" si="4"/>
        <v>6.4299860099202188</v>
      </c>
      <c r="L179" s="56">
        <v>4.62</v>
      </c>
      <c r="M179" s="56">
        <v>5.5</v>
      </c>
      <c r="N179" s="1">
        <v>3.4</v>
      </c>
      <c r="O179" s="28">
        <v>2.3109999999999999</v>
      </c>
      <c r="P179" s="60">
        <v>13.9</v>
      </c>
      <c r="Q179" s="1">
        <v>75</v>
      </c>
      <c r="R179" s="60">
        <v>1.1000000000000001</v>
      </c>
      <c r="S179" s="1">
        <v>85</v>
      </c>
      <c r="T179" s="1">
        <v>50</v>
      </c>
      <c r="U179" s="1">
        <v>34</v>
      </c>
      <c r="V179" s="36">
        <v>5</v>
      </c>
    </row>
    <row r="180" spans="1:22" x14ac:dyDescent="0.2">
      <c r="A180" s="1">
        <v>18</v>
      </c>
      <c r="B180" s="1" t="s">
        <v>70</v>
      </c>
      <c r="C180" s="28">
        <v>2.3929999999999998</v>
      </c>
      <c r="D180" s="1">
        <v>19</v>
      </c>
      <c r="E180" s="1">
        <v>2</v>
      </c>
      <c r="F180" s="1">
        <v>2</v>
      </c>
      <c r="G180" s="11">
        <v>2.6749999999999998</v>
      </c>
      <c r="H180" s="12">
        <v>1.5035000000000001</v>
      </c>
      <c r="I180" s="13">
        <v>2.6949999999999998</v>
      </c>
      <c r="J180" s="18">
        <f t="shared" si="5"/>
        <v>2.2450692404532107</v>
      </c>
      <c r="K180" s="18">
        <f t="shared" si="4"/>
        <v>6.1818119325862568</v>
      </c>
      <c r="L180" s="56">
        <v>4.62</v>
      </c>
      <c r="M180" s="56">
        <v>5.5</v>
      </c>
      <c r="N180" s="1">
        <v>3.4</v>
      </c>
      <c r="O180" s="28">
        <v>2.3109999999999999</v>
      </c>
      <c r="P180" s="60">
        <v>13.9</v>
      </c>
      <c r="Q180" s="1">
        <v>75</v>
      </c>
      <c r="R180" s="60">
        <v>1.1000000000000001</v>
      </c>
      <c r="S180" s="1">
        <v>85</v>
      </c>
      <c r="T180" s="1">
        <v>50</v>
      </c>
      <c r="U180" s="1">
        <v>34</v>
      </c>
      <c r="V180" s="36">
        <v>5</v>
      </c>
    </row>
    <row r="181" spans="1:22" x14ac:dyDescent="0.2">
      <c r="A181" s="1">
        <v>18</v>
      </c>
      <c r="B181" s="1" t="s">
        <v>70</v>
      </c>
      <c r="C181" s="28">
        <v>2.3929999999999998</v>
      </c>
      <c r="D181" s="1">
        <v>19</v>
      </c>
      <c r="E181" s="7">
        <v>2</v>
      </c>
      <c r="F181" s="7">
        <v>3</v>
      </c>
      <c r="G181" s="11">
        <v>2.6484999999999999</v>
      </c>
      <c r="H181" s="12">
        <v>1.488</v>
      </c>
      <c r="I181" s="13">
        <v>2.6575000000000002</v>
      </c>
      <c r="J181" s="18">
        <f t="shared" si="5"/>
        <v>2.2646430098332617</v>
      </c>
      <c r="K181" s="18">
        <f t="shared" si="4"/>
        <v>5.3638524933864673</v>
      </c>
      <c r="L181" s="56">
        <v>4.62</v>
      </c>
      <c r="M181" s="56">
        <v>5.5</v>
      </c>
      <c r="N181" s="1">
        <v>3.4</v>
      </c>
      <c r="O181" s="28">
        <v>2.3109999999999999</v>
      </c>
      <c r="P181" s="60">
        <v>13.9</v>
      </c>
      <c r="Q181" s="1">
        <v>75</v>
      </c>
      <c r="R181" s="60">
        <v>1.1000000000000001</v>
      </c>
      <c r="S181" s="1">
        <v>85</v>
      </c>
      <c r="T181" s="1">
        <v>50</v>
      </c>
      <c r="U181" s="1">
        <v>34</v>
      </c>
      <c r="V181" s="36">
        <v>5</v>
      </c>
    </row>
    <row r="182" spans="1:22" ht="16" thickBot="1" x14ac:dyDescent="0.25">
      <c r="A182" s="1">
        <v>18</v>
      </c>
      <c r="B182" s="1" t="s">
        <v>70</v>
      </c>
      <c r="C182" s="29">
        <v>2.3929999999999998</v>
      </c>
      <c r="D182" s="2">
        <v>19</v>
      </c>
      <c r="E182" s="2">
        <v>2</v>
      </c>
      <c r="F182" s="2">
        <v>4</v>
      </c>
      <c r="G182" s="16">
        <v>2.7094999999999998</v>
      </c>
      <c r="H182" s="10">
        <v>1.5105</v>
      </c>
      <c r="I182" s="17">
        <v>2.7225000000000001</v>
      </c>
      <c r="J182" s="20">
        <f t="shared" si="5"/>
        <v>2.2355610561056101</v>
      </c>
      <c r="K182" s="20">
        <f t="shared" si="4"/>
        <v>6.5791451690091822</v>
      </c>
      <c r="L182" s="57">
        <v>4.62</v>
      </c>
      <c r="M182" s="57">
        <v>5.5</v>
      </c>
      <c r="N182" s="2">
        <v>3.4</v>
      </c>
      <c r="O182" s="29">
        <v>2.3109999999999999</v>
      </c>
      <c r="P182" s="61">
        <v>13.9</v>
      </c>
      <c r="Q182" s="2">
        <v>75</v>
      </c>
      <c r="R182" s="61">
        <v>1.1000000000000001</v>
      </c>
      <c r="S182" s="2">
        <v>85</v>
      </c>
      <c r="T182" s="2">
        <v>50</v>
      </c>
      <c r="U182" s="2">
        <v>34</v>
      </c>
      <c r="V182" s="4">
        <v>5</v>
      </c>
    </row>
    <row r="183" spans="1:22" x14ac:dyDescent="0.2">
      <c r="A183" s="1">
        <v>19</v>
      </c>
      <c r="B183" s="1" t="s">
        <v>71</v>
      </c>
      <c r="C183" s="28">
        <v>2.4159999999999999</v>
      </c>
      <c r="D183" s="1">
        <v>19</v>
      </c>
      <c r="E183" s="26">
        <v>1</v>
      </c>
      <c r="F183" s="26">
        <v>0</v>
      </c>
      <c r="G183" s="21">
        <v>24.044499999999999</v>
      </c>
      <c r="H183" s="22">
        <v>13.505000000000001</v>
      </c>
      <c r="I183" s="23">
        <v>24.296500000000002</v>
      </c>
      <c r="J183" s="24">
        <f t="shared" si="5"/>
        <v>2.2280961868136955</v>
      </c>
      <c r="K183" s="24">
        <f t="shared" si="4"/>
        <v>7.7774757113536648</v>
      </c>
      <c r="L183" s="56">
        <v>4.33</v>
      </c>
      <c r="M183" s="56">
        <v>5.39</v>
      </c>
      <c r="N183" s="1">
        <v>3.2</v>
      </c>
      <c r="O183" s="28">
        <v>2.339</v>
      </c>
      <c r="P183" s="60">
        <v>13.1</v>
      </c>
      <c r="Q183" s="1">
        <v>76</v>
      </c>
      <c r="R183" s="60">
        <v>1.3</v>
      </c>
      <c r="S183" s="1">
        <v>83</v>
      </c>
      <c r="T183" s="1">
        <v>53</v>
      </c>
      <c r="U183" s="1">
        <v>37</v>
      </c>
      <c r="V183" s="36">
        <v>5.8</v>
      </c>
    </row>
    <row r="184" spans="1:22" x14ac:dyDescent="0.2">
      <c r="A184" s="1">
        <v>19</v>
      </c>
      <c r="B184" s="1" t="s">
        <v>71</v>
      </c>
      <c r="C184" s="28">
        <v>2.4159999999999999</v>
      </c>
      <c r="D184" s="1">
        <v>19</v>
      </c>
      <c r="E184" s="1">
        <v>1</v>
      </c>
      <c r="F184" s="1">
        <v>1</v>
      </c>
      <c r="G184" s="11">
        <v>2.7440000000000002</v>
      </c>
      <c r="H184" s="12">
        <v>1.5449999999999999</v>
      </c>
      <c r="I184" s="13">
        <v>2.7559999999999998</v>
      </c>
      <c r="J184" s="18">
        <f t="shared" si="5"/>
        <v>2.2658959537572261</v>
      </c>
      <c r="K184" s="18">
        <f t="shared" si="4"/>
        <v>6.2129158213068632</v>
      </c>
      <c r="L184" s="56">
        <v>4.33</v>
      </c>
      <c r="M184" s="56">
        <v>5.39</v>
      </c>
      <c r="N184" s="1">
        <v>3.2</v>
      </c>
      <c r="O184" s="28">
        <v>2.339</v>
      </c>
      <c r="P184" s="60">
        <v>13.1</v>
      </c>
      <c r="Q184" s="1">
        <v>76</v>
      </c>
      <c r="R184" s="60">
        <v>1.3</v>
      </c>
      <c r="S184" s="1">
        <v>83</v>
      </c>
      <c r="T184" s="1">
        <v>53</v>
      </c>
      <c r="U184" s="1">
        <v>37</v>
      </c>
      <c r="V184" s="36">
        <v>5.8</v>
      </c>
    </row>
    <row r="185" spans="1:22" x14ac:dyDescent="0.2">
      <c r="A185" s="1">
        <v>19</v>
      </c>
      <c r="B185" s="1" t="s">
        <v>71</v>
      </c>
      <c r="C185" s="28">
        <v>2.4159999999999999</v>
      </c>
      <c r="D185" s="1">
        <v>19</v>
      </c>
      <c r="E185" s="1">
        <v>1</v>
      </c>
      <c r="F185" s="1">
        <v>2</v>
      </c>
      <c r="G185" s="11">
        <v>2.6419999999999999</v>
      </c>
      <c r="H185" s="12">
        <v>1.4864999999999999</v>
      </c>
      <c r="I185" s="13">
        <v>2.6515</v>
      </c>
      <c r="J185" s="18">
        <f t="shared" si="5"/>
        <v>2.267811158798283</v>
      </c>
      <c r="K185" s="18">
        <f t="shared" si="4"/>
        <v>6.1336440894750428</v>
      </c>
      <c r="L185" s="56">
        <v>4.33</v>
      </c>
      <c r="M185" s="56">
        <v>5.39</v>
      </c>
      <c r="N185" s="1">
        <v>3.2</v>
      </c>
      <c r="O185" s="28">
        <v>2.339</v>
      </c>
      <c r="P185" s="60">
        <v>13.1</v>
      </c>
      <c r="Q185" s="1">
        <v>76</v>
      </c>
      <c r="R185" s="60">
        <v>1.3</v>
      </c>
      <c r="S185" s="1">
        <v>83</v>
      </c>
      <c r="T185" s="1">
        <v>53</v>
      </c>
      <c r="U185" s="1">
        <v>37</v>
      </c>
      <c r="V185" s="36">
        <v>5.8</v>
      </c>
    </row>
    <row r="186" spans="1:22" x14ac:dyDescent="0.2">
      <c r="A186" s="1">
        <v>19</v>
      </c>
      <c r="B186" s="1" t="s">
        <v>71</v>
      </c>
      <c r="C186" s="28">
        <v>2.4159999999999999</v>
      </c>
      <c r="D186" s="1">
        <v>19</v>
      </c>
      <c r="E186" s="1">
        <v>1</v>
      </c>
      <c r="F186" s="1">
        <v>3</v>
      </c>
      <c r="G186" s="11">
        <v>2.6375000000000002</v>
      </c>
      <c r="H186" s="12">
        <v>1.484</v>
      </c>
      <c r="I186" s="13">
        <v>2.6469999999999998</v>
      </c>
      <c r="J186" s="18">
        <f t="shared" si="5"/>
        <v>2.2678417884780746</v>
      </c>
      <c r="K186" s="18">
        <f t="shared" si="4"/>
        <v>6.1323763047154483</v>
      </c>
      <c r="L186" s="56">
        <v>4.33</v>
      </c>
      <c r="M186" s="56">
        <v>5.39</v>
      </c>
      <c r="N186" s="1">
        <v>3.2</v>
      </c>
      <c r="O186" s="28">
        <v>2.339</v>
      </c>
      <c r="P186" s="60">
        <v>13.1</v>
      </c>
      <c r="Q186" s="1">
        <v>76</v>
      </c>
      <c r="R186" s="60">
        <v>1.3</v>
      </c>
      <c r="S186" s="1">
        <v>83</v>
      </c>
      <c r="T186" s="1">
        <v>53</v>
      </c>
      <c r="U186" s="1">
        <v>37</v>
      </c>
      <c r="V186" s="36">
        <v>5.8</v>
      </c>
    </row>
    <row r="187" spans="1:22" x14ac:dyDescent="0.2">
      <c r="A187" s="1">
        <v>19</v>
      </c>
      <c r="B187" s="1" t="s">
        <v>71</v>
      </c>
      <c r="C187" s="28">
        <v>2.4159999999999999</v>
      </c>
      <c r="D187" s="1">
        <v>19</v>
      </c>
      <c r="E187" s="5">
        <v>1</v>
      </c>
      <c r="F187" s="5">
        <v>4</v>
      </c>
      <c r="G187" s="14">
        <v>2.673</v>
      </c>
      <c r="H187" s="9">
        <v>1.5029999999999999</v>
      </c>
      <c r="I187" s="15">
        <v>2.6825000000000001</v>
      </c>
      <c r="J187" s="19">
        <f t="shared" si="5"/>
        <v>2.266214497668503</v>
      </c>
      <c r="K187" s="19">
        <f t="shared" si="4"/>
        <v>6.1997310567672548</v>
      </c>
      <c r="L187" s="58">
        <v>4.33</v>
      </c>
      <c r="M187" s="58">
        <v>5.39</v>
      </c>
      <c r="N187" s="5">
        <v>3.2</v>
      </c>
      <c r="O187" s="53">
        <v>2.339</v>
      </c>
      <c r="P187" s="62">
        <v>13.1</v>
      </c>
      <c r="Q187" s="5">
        <v>76</v>
      </c>
      <c r="R187" s="62">
        <v>1.3</v>
      </c>
      <c r="S187" s="5">
        <v>83</v>
      </c>
      <c r="T187" s="5">
        <v>53</v>
      </c>
      <c r="U187" s="5">
        <v>37</v>
      </c>
      <c r="V187" s="43">
        <v>5.8</v>
      </c>
    </row>
    <row r="188" spans="1:22" x14ac:dyDescent="0.2">
      <c r="A188" s="1">
        <v>19</v>
      </c>
      <c r="B188" s="1" t="s">
        <v>72</v>
      </c>
      <c r="C188" s="28">
        <v>2.4159999999999999</v>
      </c>
      <c r="D188" s="1">
        <v>19</v>
      </c>
      <c r="E188" s="26">
        <v>2</v>
      </c>
      <c r="F188" s="26">
        <v>0</v>
      </c>
      <c r="G188" s="21">
        <v>24.047499999999999</v>
      </c>
      <c r="H188" s="22">
        <v>13.516999999999999</v>
      </c>
      <c r="I188" s="23">
        <v>24.317499999999999</v>
      </c>
      <c r="J188" s="24">
        <f t="shared" si="5"/>
        <v>2.2265172908661635</v>
      </c>
      <c r="K188" s="24">
        <f t="shared" si="4"/>
        <v>7.8428273648111109</v>
      </c>
      <c r="L188" s="56">
        <v>4.33</v>
      </c>
      <c r="M188" s="56">
        <v>5.39</v>
      </c>
      <c r="N188" s="1">
        <v>3.2</v>
      </c>
      <c r="O188" s="28">
        <v>2.339</v>
      </c>
      <c r="P188" s="60">
        <v>13.1</v>
      </c>
      <c r="Q188" s="1">
        <v>76</v>
      </c>
      <c r="R188" s="60">
        <v>1.3</v>
      </c>
      <c r="S188" s="1">
        <v>83</v>
      </c>
      <c r="T188" s="1">
        <v>53</v>
      </c>
      <c r="U188" s="1">
        <v>37</v>
      </c>
      <c r="V188" s="36">
        <v>5.8</v>
      </c>
    </row>
    <row r="189" spans="1:22" x14ac:dyDescent="0.2">
      <c r="A189" s="1">
        <v>19</v>
      </c>
      <c r="B189" s="1" t="s">
        <v>72</v>
      </c>
      <c r="C189" s="28">
        <v>2.4159999999999999</v>
      </c>
      <c r="D189" s="1">
        <v>19</v>
      </c>
      <c r="E189" s="1">
        <v>2</v>
      </c>
      <c r="F189" s="1">
        <v>1</v>
      </c>
      <c r="G189" s="11">
        <v>2.7814999999999999</v>
      </c>
      <c r="H189" s="12">
        <v>1.5725</v>
      </c>
      <c r="I189" s="13">
        <v>2.7995000000000001</v>
      </c>
      <c r="J189" s="18">
        <f t="shared" si="5"/>
        <v>2.2669111654441725</v>
      </c>
      <c r="K189" s="18">
        <f t="shared" si="4"/>
        <v>6.1708954700259717</v>
      </c>
      <c r="L189" s="56">
        <v>4.33</v>
      </c>
      <c r="M189" s="56">
        <v>5.39</v>
      </c>
      <c r="N189" s="1">
        <v>3.2</v>
      </c>
      <c r="O189" s="28">
        <v>2.339</v>
      </c>
      <c r="P189" s="60">
        <v>13.1</v>
      </c>
      <c r="Q189" s="1">
        <v>76</v>
      </c>
      <c r="R189" s="60">
        <v>1.3</v>
      </c>
      <c r="S189" s="1">
        <v>83</v>
      </c>
      <c r="T189" s="1">
        <v>53</v>
      </c>
      <c r="U189" s="1">
        <v>37</v>
      </c>
      <c r="V189" s="36">
        <v>5.8</v>
      </c>
    </row>
    <row r="190" spans="1:22" x14ac:dyDescent="0.2">
      <c r="A190" s="1">
        <v>19</v>
      </c>
      <c r="B190" s="1" t="s">
        <v>72</v>
      </c>
      <c r="C190" s="28">
        <v>2.4159999999999999</v>
      </c>
      <c r="D190" s="1">
        <v>19</v>
      </c>
      <c r="E190" s="1">
        <v>2</v>
      </c>
      <c r="F190" s="1">
        <v>2</v>
      </c>
      <c r="G190" s="11">
        <v>2.6524999999999999</v>
      </c>
      <c r="H190" s="12">
        <v>1.4930000000000001</v>
      </c>
      <c r="I190" s="13">
        <v>2.669</v>
      </c>
      <c r="J190" s="18">
        <f t="shared" si="5"/>
        <v>2.2555272108843538</v>
      </c>
      <c r="K190" s="18">
        <f t="shared" si="4"/>
        <v>6.6420856422038987</v>
      </c>
      <c r="L190" s="56">
        <v>4.33</v>
      </c>
      <c r="M190" s="56">
        <v>5.39</v>
      </c>
      <c r="N190" s="1">
        <v>3.2</v>
      </c>
      <c r="O190" s="28">
        <v>2.339</v>
      </c>
      <c r="P190" s="60">
        <v>13.1</v>
      </c>
      <c r="Q190" s="1">
        <v>76</v>
      </c>
      <c r="R190" s="60">
        <v>1.3</v>
      </c>
      <c r="S190" s="1">
        <v>83</v>
      </c>
      <c r="T190" s="1">
        <v>53</v>
      </c>
      <c r="U190" s="1">
        <v>37</v>
      </c>
      <c r="V190" s="36">
        <v>5.8</v>
      </c>
    </row>
    <row r="191" spans="1:22" x14ac:dyDescent="0.2">
      <c r="A191" s="1">
        <v>19</v>
      </c>
      <c r="B191" s="1" t="s">
        <v>72</v>
      </c>
      <c r="C191" s="28">
        <v>2.4159999999999999</v>
      </c>
      <c r="D191" s="1">
        <v>19</v>
      </c>
      <c r="E191" s="1">
        <v>2</v>
      </c>
      <c r="F191" s="1">
        <v>3</v>
      </c>
      <c r="G191" s="11">
        <v>2.7025000000000001</v>
      </c>
      <c r="H191" s="12">
        <v>1.5225</v>
      </c>
      <c r="I191" s="13">
        <v>2.7185000000000001</v>
      </c>
      <c r="J191" s="18">
        <f t="shared" si="5"/>
        <v>2.2596153846153846</v>
      </c>
      <c r="K191" s="18">
        <f t="shared" si="4"/>
        <v>6.4728731533367334</v>
      </c>
      <c r="L191" s="56">
        <v>4.33</v>
      </c>
      <c r="M191" s="56">
        <v>5.39</v>
      </c>
      <c r="N191" s="1">
        <v>3.2</v>
      </c>
      <c r="O191" s="28">
        <v>2.339</v>
      </c>
      <c r="P191" s="60">
        <v>13.1</v>
      </c>
      <c r="Q191" s="1">
        <v>76</v>
      </c>
      <c r="R191" s="60">
        <v>1.3</v>
      </c>
      <c r="S191" s="1">
        <v>83</v>
      </c>
      <c r="T191" s="1">
        <v>53</v>
      </c>
      <c r="U191" s="1">
        <v>37</v>
      </c>
      <c r="V191" s="36">
        <v>5.8</v>
      </c>
    </row>
    <row r="192" spans="1:22" ht="16" thickBot="1" x14ac:dyDescent="0.25">
      <c r="A192" s="1">
        <v>19</v>
      </c>
      <c r="B192" s="1" t="s">
        <v>72</v>
      </c>
      <c r="C192" s="29">
        <v>2.4159999999999999</v>
      </c>
      <c r="D192" s="2">
        <v>19</v>
      </c>
      <c r="E192" s="2">
        <v>2</v>
      </c>
      <c r="F192" s="2">
        <v>4</v>
      </c>
      <c r="G192" s="16">
        <v>2.61</v>
      </c>
      <c r="H192" s="10">
        <v>1.4615</v>
      </c>
      <c r="I192" s="17">
        <v>2.6190000000000002</v>
      </c>
      <c r="J192" s="20">
        <f t="shared" si="5"/>
        <v>2.254859611231101</v>
      </c>
      <c r="K192" s="20">
        <f t="shared" si="4"/>
        <v>6.6697180781829069</v>
      </c>
      <c r="L192" s="57">
        <v>4.33</v>
      </c>
      <c r="M192" s="57">
        <v>5.39</v>
      </c>
      <c r="N192" s="2">
        <v>3.2</v>
      </c>
      <c r="O192" s="29">
        <v>2.339</v>
      </c>
      <c r="P192" s="61">
        <v>13.1</v>
      </c>
      <c r="Q192" s="2">
        <v>76</v>
      </c>
      <c r="R192" s="61">
        <v>1.3</v>
      </c>
      <c r="S192" s="2">
        <v>83</v>
      </c>
      <c r="T192" s="2">
        <v>53</v>
      </c>
      <c r="U192" s="2">
        <v>37</v>
      </c>
      <c r="V192" s="4">
        <v>5.8</v>
      </c>
    </row>
    <row r="193" spans="1:22" x14ac:dyDescent="0.2">
      <c r="A193" s="1">
        <v>20</v>
      </c>
      <c r="B193" s="1" t="s">
        <v>73</v>
      </c>
      <c r="C193" s="28">
        <v>2.37</v>
      </c>
      <c r="D193" s="1">
        <v>19</v>
      </c>
      <c r="E193" s="26">
        <v>1</v>
      </c>
      <c r="F193" s="26">
        <v>0</v>
      </c>
      <c r="G193" s="21">
        <v>24.115500000000001</v>
      </c>
      <c r="H193" s="22">
        <v>13.366</v>
      </c>
      <c r="I193" s="23">
        <v>24.421500000000002</v>
      </c>
      <c r="J193" s="24">
        <f t="shared" si="5"/>
        <v>2.1813124689068788</v>
      </c>
      <c r="K193" s="24">
        <f t="shared" si="4"/>
        <v>7.9614992022414066</v>
      </c>
      <c r="L193" s="56">
        <v>5.09</v>
      </c>
      <c r="M193" s="56">
        <v>5.83</v>
      </c>
      <c r="N193" s="1">
        <v>3.8</v>
      </c>
      <c r="O193" s="28">
        <v>2.2799999999999998</v>
      </c>
      <c r="P193" s="60">
        <v>15.1</v>
      </c>
      <c r="Q193" s="1">
        <v>75</v>
      </c>
      <c r="R193" s="60">
        <v>1</v>
      </c>
      <c r="S193" s="1">
        <v>84</v>
      </c>
      <c r="T193" s="1">
        <v>52</v>
      </c>
      <c r="U193" s="1">
        <v>33</v>
      </c>
      <c r="V193" s="36">
        <v>5.0999999999999996</v>
      </c>
    </row>
    <row r="194" spans="1:22" x14ac:dyDescent="0.2">
      <c r="A194" s="1">
        <v>20</v>
      </c>
      <c r="B194" s="1" t="s">
        <v>73</v>
      </c>
      <c r="C194" s="28">
        <v>2.37</v>
      </c>
      <c r="D194" s="1">
        <v>19</v>
      </c>
      <c r="E194" s="1">
        <v>1</v>
      </c>
      <c r="F194" s="1">
        <v>1</v>
      </c>
      <c r="G194" s="11">
        <v>2.5920000000000001</v>
      </c>
      <c r="H194" s="12">
        <v>1.427</v>
      </c>
      <c r="I194" s="13">
        <v>2.6004999999999998</v>
      </c>
      <c r="J194" s="18">
        <f t="shared" si="5"/>
        <v>2.2087771623348962</v>
      </c>
      <c r="K194" s="18">
        <f t="shared" si="4"/>
        <v>6.8026513782744269</v>
      </c>
      <c r="L194" s="56">
        <v>5.09</v>
      </c>
      <c r="M194" s="56">
        <v>5.83</v>
      </c>
      <c r="N194" s="1">
        <v>3.8</v>
      </c>
      <c r="O194" s="28">
        <v>2.2799999999999998</v>
      </c>
      <c r="P194" s="60">
        <v>15.1</v>
      </c>
      <c r="Q194" s="1">
        <v>75</v>
      </c>
      <c r="R194" s="60">
        <v>1</v>
      </c>
      <c r="S194" s="1">
        <v>84</v>
      </c>
      <c r="T194" s="1">
        <v>52</v>
      </c>
      <c r="U194" s="1">
        <v>33</v>
      </c>
      <c r="V194" s="36">
        <v>5.0999999999999996</v>
      </c>
    </row>
    <row r="195" spans="1:22" x14ac:dyDescent="0.2">
      <c r="A195" s="1">
        <v>20</v>
      </c>
      <c r="B195" s="1" t="s">
        <v>73</v>
      </c>
      <c r="C195" s="28">
        <v>2.37</v>
      </c>
      <c r="D195" s="1">
        <v>19</v>
      </c>
      <c r="E195" s="1">
        <v>1</v>
      </c>
      <c r="F195" s="1">
        <v>2</v>
      </c>
      <c r="G195" s="11">
        <v>2.5459999999999998</v>
      </c>
      <c r="H195" s="12">
        <v>1.3939999999999999</v>
      </c>
      <c r="I195" s="13">
        <v>2.5529999999999999</v>
      </c>
      <c r="J195" s="18">
        <f t="shared" si="5"/>
        <v>2.1967213114754096</v>
      </c>
      <c r="K195" s="18">
        <f t="shared" ref="K195:K242" si="6">+IF(G195=0,"",(1-(J195/C195))*100)</f>
        <v>7.3113370685481183</v>
      </c>
      <c r="L195" s="56">
        <v>5.09</v>
      </c>
      <c r="M195" s="56">
        <v>5.83</v>
      </c>
      <c r="N195" s="1">
        <v>3.8</v>
      </c>
      <c r="O195" s="28">
        <v>2.2799999999999998</v>
      </c>
      <c r="P195" s="60">
        <v>15.1</v>
      </c>
      <c r="Q195" s="1">
        <v>75</v>
      </c>
      <c r="R195" s="60">
        <v>1</v>
      </c>
      <c r="S195" s="1">
        <v>84</v>
      </c>
      <c r="T195" s="1">
        <v>52</v>
      </c>
      <c r="U195" s="1">
        <v>33</v>
      </c>
      <c r="V195" s="36">
        <v>5.0999999999999996</v>
      </c>
    </row>
    <row r="196" spans="1:22" x14ac:dyDescent="0.2">
      <c r="A196" s="1">
        <v>20</v>
      </c>
      <c r="B196" s="1" t="s">
        <v>73</v>
      </c>
      <c r="C196" s="28">
        <v>2.37</v>
      </c>
      <c r="D196" s="1">
        <v>19</v>
      </c>
      <c r="E196" s="1">
        <v>1</v>
      </c>
      <c r="F196" s="1">
        <v>3</v>
      </c>
      <c r="G196" s="11">
        <v>2.5979999999999999</v>
      </c>
      <c r="H196" s="12">
        <v>1.4259999999999999</v>
      </c>
      <c r="I196" s="13">
        <v>2.6084999999999998</v>
      </c>
      <c r="J196" s="18">
        <f t="shared" si="5"/>
        <v>2.1970401691331927</v>
      </c>
      <c r="K196" s="18">
        <f t="shared" si="6"/>
        <v>7.2978831589370241</v>
      </c>
      <c r="L196" s="56">
        <v>5.09</v>
      </c>
      <c r="M196" s="56">
        <v>5.83</v>
      </c>
      <c r="N196" s="1">
        <v>3.8</v>
      </c>
      <c r="O196" s="28">
        <v>2.2799999999999998</v>
      </c>
      <c r="P196" s="60">
        <v>15.1</v>
      </c>
      <c r="Q196" s="1">
        <v>75</v>
      </c>
      <c r="R196" s="60">
        <v>1</v>
      </c>
      <c r="S196" s="1">
        <v>84</v>
      </c>
      <c r="T196" s="1">
        <v>52</v>
      </c>
      <c r="U196" s="1">
        <v>33</v>
      </c>
      <c r="V196" s="36">
        <v>5.0999999999999996</v>
      </c>
    </row>
    <row r="197" spans="1:22" x14ac:dyDescent="0.2">
      <c r="A197" s="1">
        <v>20</v>
      </c>
      <c r="B197" s="1" t="s">
        <v>73</v>
      </c>
      <c r="C197" s="28">
        <v>2.37</v>
      </c>
      <c r="D197" s="1">
        <v>19</v>
      </c>
      <c r="E197" s="5">
        <v>1</v>
      </c>
      <c r="F197" s="5">
        <v>4</v>
      </c>
      <c r="G197" s="14">
        <v>2.5880000000000001</v>
      </c>
      <c r="H197" s="9">
        <v>1.419</v>
      </c>
      <c r="I197" s="15">
        <v>2.597</v>
      </c>
      <c r="J197" s="19">
        <f t="shared" si="5"/>
        <v>2.1969439728353142</v>
      </c>
      <c r="K197" s="19">
        <f t="shared" si="6"/>
        <v>7.3019420744593226</v>
      </c>
      <c r="L197" s="58">
        <v>5.09</v>
      </c>
      <c r="M197" s="58">
        <v>5.83</v>
      </c>
      <c r="N197" s="5">
        <v>3.8</v>
      </c>
      <c r="O197" s="53">
        <v>2.2799999999999998</v>
      </c>
      <c r="P197" s="62">
        <v>15.1</v>
      </c>
      <c r="Q197" s="5">
        <v>75</v>
      </c>
      <c r="R197" s="62">
        <v>1</v>
      </c>
      <c r="S197" s="5">
        <v>84</v>
      </c>
      <c r="T197" s="5">
        <v>52</v>
      </c>
      <c r="U197" s="5">
        <v>33</v>
      </c>
      <c r="V197" s="43">
        <v>5.0999999999999996</v>
      </c>
    </row>
    <row r="198" spans="1:22" x14ac:dyDescent="0.2">
      <c r="A198" s="1">
        <v>20</v>
      </c>
      <c r="B198" s="1" t="s">
        <v>74</v>
      </c>
      <c r="C198" s="28">
        <v>2.37</v>
      </c>
      <c r="D198" s="1">
        <v>19</v>
      </c>
      <c r="E198" s="26">
        <v>2</v>
      </c>
      <c r="F198" s="26">
        <v>0</v>
      </c>
      <c r="G198" s="21">
        <v>24.082000000000001</v>
      </c>
      <c r="H198" s="22">
        <v>13.391999999999999</v>
      </c>
      <c r="I198" s="23">
        <v>24.4255</v>
      </c>
      <c r="J198" s="24">
        <f t="shared" si="5"/>
        <v>2.1826256400960711</v>
      </c>
      <c r="K198" s="24">
        <f t="shared" si="6"/>
        <v>7.9060911351868768</v>
      </c>
      <c r="L198" s="56">
        <v>5.09</v>
      </c>
      <c r="M198" s="56">
        <v>5.83</v>
      </c>
      <c r="N198" s="1">
        <v>3.8</v>
      </c>
      <c r="O198" s="28">
        <v>2.2799999999999998</v>
      </c>
      <c r="P198" s="60">
        <v>15.1</v>
      </c>
      <c r="Q198" s="1">
        <v>75</v>
      </c>
      <c r="R198" s="60">
        <v>1</v>
      </c>
      <c r="S198" s="1">
        <v>84</v>
      </c>
      <c r="T198" s="1">
        <v>52</v>
      </c>
      <c r="U198" s="1">
        <v>33</v>
      </c>
      <c r="V198" s="36">
        <v>5.0999999999999996</v>
      </c>
    </row>
    <row r="199" spans="1:22" x14ac:dyDescent="0.2">
      <c r="A199" s="1">
        <v>20</v>
      </c>
      <c r="B199" s="1" t="s">
        <v>74</v>
      </c>
      <c r="C199" s="28">
        <v>2.37</v>
      </c>
      <c r="D199" s="1">
        <v>19</v>
      </c>
      <c r="E199" s="1">
        <v>2</v>
      </c>
      <c r="F199" s="1">
        <v>1</v>
      </c>
      <c r="G199" s="11">
        <v>2.5514999999999999</v>
      </c>
      <c r="H199" s="12">
        <v>1.4015</v>
      </c>
      <c r="I199" s="13">
        <v>2.5594999999999999</v>
      </c>
      <c r="J199" s="18">
        <f t="shared" ref="J199:J242" si="7">+IF(G199=0,"",G199/(I199-H199))</f>
        <v>2.2033678756476682</v>
      </c>
      <c r="K199" s="18">
        <f t="shared" si="6"/>
        <v>7.0308913228832033</v>
      </c>
      <c r="L199" s="56">
        <v>5.09</v>
      </c>
      <c r="M199" s="56">
        <v>5.83</v>
      </c>
      <c r="N199" s="1">
        <v>3.8</v>
      </c>
      <c r="O199" s="28">
        <v>2.2799999999999998</v>
      </c>
      <c r="P199" s="60">
        <v>15.1</v>
      </c>
      <c r="Q199" s="1">
        <v>75</v>
      </c>
      <c r="R199" s="60">
        <v>1</v>
      </c>
      <c r="S199" s="1">
        <v>84</v>
      </c>
      <c r="T199" s="1">
        <v>52</v>
      </c>
      <c r="U199" s="1">
        <v>33</v>
      </c>
      <c r="V199" s="36">
        <v>5.0999999999999996</v>
      </c>
    </row>
    <row r="200" spans="1:22" x14ac:dyDescent="0.2">
      <c r="A200" s="1">
        <v>20</v>
      </c>
      <c r="B200" s="1" t="s">
        <v>74</v>
      </c>
      <c r="C200" s="28">
        <v>2.37</v>
      </c>
      <c r="D200" s="1">
        <v>19</v>
      </c>
      <c r="E200" s="1">
        <v>2</v>
      </c>
      <c r="F200" s="1">
        <v>2</v>
      </c>
      <c r="G200" s="11">
        <v>2.6515</v>
      </c>
      <c r="H200" s="12">
        <v>1.4544999999999999</v>
      </c>
      <c r="I200" s="13">
        <v>2.66</v>
      </c>
      <c r="J200" s="18">
        <f t="shared" si="7"/>
        <v>2.1995022812111151</v>
      </c>
      <c r="K200" s="18">
        <f t="shared" si="6"/>
        <v>7.1939965733706757</v>
      </c>
      <c r="L200" s="56">
        <v>5.09</v>
      </c>
      <c r="M200" s="56">
        <v>5.83</v>
      </c>
      <c r="N200" s="1">
        <v>3.8</v>
      </c>
      <c r="O200" s="28">
        <v>2.2799999999999998</v>
      </c>
      <c r="P200" s="60">
        <v>15.1</v>
      </c>
      <c r="Q200" s="1">
        <v>75</v>
      </c>
      <c r="R200" s="60">
        <v>1</v>
      </c>
      <c r="S200" s="1">
        <v>84</v>
      </c>
      <c r="T200" s="1">
        <v>52</v>
      </c>
      <c r="U200" s="1">
        <v>33</v>
      </c>
      <c r="V200" s="36">
        <v>5.0999999999999996</v>
      </c>
    </row>
    <row r="201" spans="1:22" x14ac:dyDescent="0.2">
      <c r="A201" s="1">
        <v>20</v>
      </c>
      <c r="B201" s="1" t="s">
        <v>74</v>
      </c>
      <c r="C201" s="28">
        <v>2.37</v>
      </c>
      <c r="D201" s="1">
        <v>19</v>
      </c>
      <c r="E201" s="1">
        <v>2</v>
      </c>
      <c r="F201" s="1">
        <v>3</v>
      </c>
      <c r="G201" s="11">
        <v>2.5939999999999999</v>
      </c>
      <c r="H201" s="12">
        <v>1.427</v>
      </c>
      <c r="I201" s="13">
        <v>2.6015000000000001</v>
      </c>
      <c r="J201" s="18">
        <f t="shared" si="7"/>
        <v>2.2085994040017027</v>
      </c>
      <c r="K201" s="18">
        <f t="shared" si="6"/>
        <v>6.8101517298859608</v>
      </c>
      <c r="L201" s="56">
        <v>5.09</v>
      </c>
      <c r="M201" s="56">
        <v>5.83</v>
      </c>
      <c r="N201" s="1">
        <v>3.8</v>
      </c>
      <c r="O201" s="28">
        <v>2.2799999999999998</v>
      </c>
      <c r="P201" s="60">
        <v>15.1</v>
      </c>
      <c r="Q201" s="1">
        <v>75</v>
      </c>
      <c r="R201" s="60">
        <v>1</v>
      </c>
      <c r="S201" s="1">
        <v>84</v>
      </c>
      <c r="T201" s="1">
        <v>52</v>
      </c>
      <c r="U201" s="1">
        <v>33</v>
      </c>
      <c r="V201" s="36">
        <v>5.0999999999999996</v>
      </c>
    </row>
    <row r="202" spans="1:22" ht="16" thickBot="1" x14ac:dyDescent="0.25">
      <c r="A202" s="1">
        <v>20</v>
      </c>
      <c r="B202" s="1" t="s">
        <v>74</v>
      </c>
      <c r="C202" s="29">
        <v>2.37</v>
      </c>
      <c r="D202" s="2">
        <v>19</v>
      </c>
      <c r="E202" s="2">
        <v>2</v>
      </c>
      <c r="F202" s="2">
        <v>4</v>
      </c>
      <c r="G202" s="16">
        <v>2.59</v>
      </c>
      <c r="H202" s="10">
        <v>1.4265000000000001</v>
      </c>
      <c r="I202" s="17">
        <v>2.6</v>
      </c>
      <c r="J202" s="20">
        <f t="shared" si="7"/>
        <v>2.2070728589688962</v>
      </c>
      <c r="K202" s="20">
        <f t="shared" si="6"/>
        <v>6.8745629127048069</v>
      </c>
      <c r="L202" s="57">
        <v>5.09</v>
      </c>
      <c r="M202" s="57">
        <v>5.83</v>
      </c>
      <c r="N202" s="2">
        <v>3.8</v>
      </c>
      <c r="O202" s="29">
        <v>2.2799999999999998</v>
      </c>
      <c r="P202" s="61">
        <v>15.1</v>
      </c>
      <c r="Q202" s="2">
        <v>75</v>
      </c>
      <c r="R202" s="61">
        <v>1</v>
      </c>
      <c r="S202" s="2">
        <v>84</v>
      </c>
      <c r="T202" s="2">
        <v>52</v>
      </c>
      <c r="U202" s="2">
        <v>33</v>
      </c>
      <c r="V202" s="4">
        <v>5.0999999999999996</v>
      </c>
    </row>
    <row r="203" spans="1:22" x14ac:dyDescent="0.2">
      <c r="A203" s="1">
        <v>21</v>
      </c>
      <c r="B203" s="1" t="s">
        <v>75</v>
      </c>
      <c r="C203" s="28">
        <v>2.4060000000000001</v>
      </c>
      <c r="D203" s="1">
        <v>19</v>
      </c>
      <c r="E203" s="26">
        <v>1</v>
      </c>
      <c r="F203" s="26">
        <v>0</v>
      </c>
      <c r="G203" s="21">
        <v>24.094999999999999</v>
      </c>
      <c r="H203" s="22">
        <v>13.4465</v>
      </c>
      <c r="I203" s="23">
        <v>24.317</v>
      </c>
      <c r="J203" s="24">
        <f t="shared" si="7"/>
        <v>2.2165493767535991</v>
      </c>
      <c r="K203" s="24">
        <f t="shared" si="6"/>
        <v>7.8740907417456762</v>
      </c>
      <c r="L203" s="56">
        <v>4.71</v>
      </c>
      <c r="M203" s="56">
        <v>5.55</v>
      </c>
      <c r="N203" s="1">
        <v>3.4</v>
      </c>
      <c r="O203" s="28">
        <v>2.3239999999999998</v>
      </c>
      <c r="P203" s="60">
        <v>14.1</v>
      </c>
      <c r="Q203" s="1">
        <v>76</v>
      </c>
      <c r="R203" s="60">
        <v>1.1000000000000001</v>
      </c>
      <c r="S203" s="1">
        <v>85</v>
      </c>
      <c r="T203" s="1">
        <v>52</v>
      </c>
      <c r="U203" s="1">
        <v>35</v>
      </c>
      <c r="V203" s="36">
        <v>5.3</v>
      </c>
    </row>
    <row r="204" spans="1:22" x14ac:dyDescent="0.2">
      <c r="A204" s="1">
        <v>21</v>
      </c>
      <c r="B204" s="1" t="s">
        <v>75</v>
      </c>
      <c r="C204" s="28">
        <v>2.4060000000000001</v>
      </c>
      <c r="D204" s="1">
        <v>19</v>
      </c>
      <c r="E204" s="1">
        <v>1</v>
      </c>
      <c r="F204" s="1">
        <v>1</v>
      </c>
      <c r="G204" s="11">
        <v>2.7565</v>
      </c>
      <c r="H204" s="12">
        <v>1.5349999999999999</v>
      </c>
      <c r="I204" s="13">
        <v>2.762</v>
      </c>
      <c r="J204" s="18">
        <f t="shared" si="7"/>
        <v>2.2465362673186631</v>
      </c>
      <c r="K204" s="18">
        <f t="shared" si="6"/>
        <v>6.6277528130231573</v>
      </c>
      <c r="L204" s="56">
        <v>4.71</v>
      </c>
      <c r="M204" s="56">
        <v>5.55</v>
      </c>
      <c r="N204" s="1">
        <v>3.4</v>
      </c>
      <c r="O204" s="28">
        <v>2.3239999999999998</v>
      </c>
      <c r="P204" s="60">
        <v>14.1</v>
      </c>
      <c r="Q204" s="1">
        <v>76</v>
      </c>
      <c r="R204" s="60">
        <v>1.1000000000000001</v>
      </c>
      <c r="S204" s="1">
        <v>85</v>
      </c>
      <c r="T204" s="1">
        <v>52</v>
      </c>
      <c r="U204" s="1">
        <v>35</v>
      </c>
      <c r="V204" s="36">
        <v>5.3</v>
      </c>
    </row>
    <row r="205" spans="1:22" x14ac:dyDescent="0.2">
      <c r="A205" s="1">
        <v>21</v>
      </c>
      <c r="B205" s="1" t="s">
        <v>75</v>
      </c>
      <c r="C205" s="28">
        <v>2.4060000000000001</v>
      </c>
      <c r="D205" s="1">
        <v>19</v>
      </c>
      <c r="E205" s="1">
        <v>1</v>
      </c>
      <c r="F205" s="1">
        <v>2</v>
      </c>
      <c r="G205" s="11">
        <v>2.6659999999999999</v>
      </c>
      <c r="H205" s="12">
        <v>1.4870000000000001</v>
      </c>
      <c r="I205" s="13">
        <v>2.6680000000000001</v>
      </c>
      <c r="J205" s="18">
        <f t="shared" si="7"/>
        <v>2.2574089754445383</v>
      </c>
      <c r="K205" s="18">
        <f t="shared" si="6"/>
        <v>6.1758530571679904</v>
      </c>
      <c r="L205" s="56">
        <v>4.71</v>
      </c>
      <c r="M205" s="56">
        <v>5.55</v>
      </c>
      <c r="N205" s="1">
        <v>3.4</v>
      </c>
      <c r="O205" s="28">
        <v>2.3239999999999998</v>
      </c>
      <c r="P205" s="60">
        <v>14.1</v>
      </c>
      <c r="Q205" s="1">
        <v>76</v>
      </c>
      <c r="R205" s="60">
        <v>1.1000000000000001</v>
      </c>
      <c r="S205" s="1">
        <v>85</v>
      </c>
      <c r="T205" s="1">
        <v>52</v>
      </c>
      <c r="U205" s="1">
        <v>35</v>
      </c>
      <c r="V205" s="36">
        <v>5.3</v>
      </c>
    </row>
    <row r="206" spans="1:22" x14ac:dyDescent="0.2">
      <c r="A206" s="1">
        <v>21</v>
      </c>
      <c r="B206" s="1" t="s">
        <v>75</v>
      </c>
      <c r="C206" s="28">
        <v>2.4060000000000001</v>
      </c>
      <c r="D206" s="1">
        <v>19</v>
      </c>
      <c r="E206" s="1">
        <v>1</v>
      </c>
      <c r="F206" s="1">
        <v>3</v>
      </c>
      <c r="G206" s="11">
        <v>2.7665000000000002</v>
      </c>
      <c r="H206" s="12">
        <v>1.5429999999999999</v>
      </c>
      <c r="I206" s="13">
        <v>2.77</v>
      </c>
      <c r="J206" s="18">
        <f t="shared" si="7"/>
        <v>2.2546862265688672</v>
      </c>
      <c r="K206" s="18">
        <f t="shared" si="6"/>
        <v>6.28901801459405</v>
      </c>
      <c r="L206" s="56">
        <v>4.71</v>
      </c>
      <c r="M206" s="56">
        <v>5.55</v>
      </c>
      <c r="N206" s="1">
        <v>3.4</v>
      </c>
      <c r="O206" s="28">
        <v>2.3239999999999998</v>
      </c>
      <c r="P206" s="60">
        <v>14.1</v>
      </c>
      <c r="Q206" s="1">
        <v>76</v>
      </c>
      <c r="R206" s="60">
        <v>1.1000000000000001</v>
      </c>
      <c r="S206" s="1">
        <v>85</v>
      </c>
      <c r="T206" s="1">
        <v>52</v>
      </c>
      <c r="U206" s="1">
        <v>35</v>
      </c>
      <c r="V206" s="36">
        <v>5.3</v>
      </c>
    </row>
    <row r="207" spans="1:22" x14ac:dyDescent="0.2">
      <c r="A207" s="1">
        <v>21</v>
      </c>
      <c r="B207" s="1" t="s">
        <v>75</v>
      </c>
      <c r="C207" s="28">
        <v>2.4060000000000001</v>
      </c>
      <c r="D207" s="1">
        <v>19</v>
      </c>
      <c r="E207" s="5">
        <v>1</v>
      </c>
      <c r="F207" s="5">
        <v>4</v>
      </c>
      <c r="G207" s="14">
        <v>2.613</v>
      </c>
      <c r="H207" s="9">
        <v>1.4524999999999999</v>
      </c>
      <c r="I207" s="15">
        <v>2.6179999999999999</v>
      </c>
      <c r="J207" s="19">
        <f t="shared" si="7"/>
        <v>2.2419562419562418</v>
      </c>
      <c r="K207" s="19">
        <f t="shared" si="6"/>
        <v>6.8181113068893744</v>
      </c>
      <c r="L207" s="58">
        <v>4.71</v>
      </c>
      <c r="M207" s="58">
        <v>5.55</v>
      </c>
      <c r="N207" s="5">
        <v>3.4</v>
      </c>
      <c r="O207" s="53">
        <v>2.3239999999999998</v>
      </c>
      <c r="P207" s="62">
        <v>14.1</v>
      </c>
      <c r="Q207" s="5">
        <v>76</v>
      </c>
      <c r="R207" s="62">
        <v>1.1000000000000001</v>
      </c>
      <c r="S207" s="5">
        <v>85</v>
      </c>
      <c r="T207" s="5">
        <v>52</v>
      </c>
      <c r="U207" s="5">
        <v>35</v>
      </c>
      <c r="V207" s="43">
        <v>5.3</v>
      </c>
    </row>
    <row r="208" spans="1:22" x14ac:dyDescent="0.2">
      <c r="A208" s="1">
        <v>21</v>
      </c>
      <c r="B208" s="1" t="s">
        <v>76</v>
      </c>
      <c r="C208" s="28">
        <v>2.4060000000000001</v>
      </c>
      <c r="D208" s="1">
        <v>19</v>
      </c>
      <c r="E208" s="26">
        <v>2</v>
      </c>
      <c r="F208" s="26">
        <v>0</v>
      </c>
      <c r="G208" s="21">
        <v>24.027000000000001</v>
      </c>
      <c r="H208" s="22">
        <v>13.476000000000001</v>
      </c>
      <c r="I208" s="23">
        <v>24.282</v>
      </c>
      <c r="J208" s="24">
        <f t="shared" si="7"/>
        <v>2.2234869516935039</v>
      </c>
      <c r="K208" s="24">
        <f t="shared" si="6"/>
        <v>7.5857459811511374</v>
      </c>
      <c r="L208" s="56">
        <v>4.71</v>
      </c>
      <c r="M208" s="56">
        <v>5.55</v>
      </c>
      <c r="N208" s="1">
        <v>3.4</v>
      </c>
      <c r="O208" s="28">
        <v>2.3239999999999998</v>
      </c>
      <c r="P208" s="60">
        <v>14.1</v>
      </c>
      <c r="Q208" s="1">
        <v>76</v>
      </c>
      <c r="R208" s="60">
        <v>1.1000000000000001</v>
      </c>
      <c r="S208" s="1">
        <v>85</v>
      </c>
      <c r="T208" s="1">
        <v>52</v>
      </c>
      <c r="U208" s="1">
        <v>35</v>
      </c>
      <c r="V208" s="36">
        <v>5.3</v>
      </c>
    </row>
    <row r="209" spans="1:22" x14ac:dyDescent="0.2">
      <c r="A209" s="1">
        <v>21</v>
      </c>
      <c r="B209" s="1" t="s">
        <v>76</v>
      </c>
      <c r="C209" s="28">
        <v>2.4060000000000001</v>
      </c>
      <c r="D209" s="1">
        <v>19</v>
      </c>
      <c r="E209" s="1">
        <v>2</v>
      </c>
      <c r="F209" s="1">
        <v>1</v>
      </c>
      <c r="G209" s="11">
        <v>2.7425000000000002</v>
      </c>
      <c r="H209" s="12">
        <v>1.5335000000000001</v>
      </c>
      <c r="I209" s="13">
        <v>2.746</v>
      </c>
      <c r="J209" s="18">
        <f t="shared" si="7"/>
        <v>2.2618556701030932</v>
      </c>
      <c r="K209" s="18">
        <f t="shared" si="6"/>
        <v>5.9910361553161646</v>
      </c>
      <c r="L209" s="56">
        <v>4.71</v>
      </c>
      <c r="M209" s="56">
        <v>5.55</v>
      </c>
      <c r="N209" s="1">
        <v>3.4</v>
      </c>
      <c r="O209" s="28">
        <v>2.3239999999999998</v>
      </c>
      <c r="P209" s="60">
        <v>14.1</v>
      </c>
      <c r="Q209" s="1">
        <v>76</v>
      </c>
      <c r="R209" s="60">
        <v>1.1000000000000001</v>
      </c>
      <c r="S209" s="1">
        <v>85</v>
      </c>
      <c r="T209" s="1">
        <v>52</v>
      </c>
      <c r="U209" s="1">
        <v>35</v>
      </c>
      <c r="V209" s="36">
        <v>5.3</v>
      </c>
    </row>
    <row r="210" spans="1:22" x14ac:dyDescent="0.2">
      <c r="A210" s="1">
        <v>21</v>
      </c>
      <c r="B210" s="1" t="s">
        <v>76</v>
      </c>
      <c r="C210" s="28">
        <v>2.4060000000000001</v>
      </c>
      <c r="D210" s="1">
        <v>19</v>
      </c>
      <c r="E210" s="1">
        <v>2</v>
      </c>
      <c r="F210" s="1">
        <v>2</v>
      </c>
      <c r="G210" s="11">
        <v>2.6465000000000001</v>
      </c>
      <c r="H210" s="12">
        <v>1.4735</v>
      </c>
      <c r="I210" s="13">
        <v>2.6515</v>
      </c>
      <c r="J210" s="18">
        <f t="shared" si="7"/>
        <v>2.2466044142614603</v>
      </c>
      <c r="K210" s="18">
        <f t="shared" si="6"/>
        <v>6.6249204380107951</v>
      </c>
      <c r="L210" s="56">
        <v>4.71</v>
      </c>
      <c r="M210" s="56">
        <v>5.55</v>
      </c>
      <c r="N210" s="1">
        <v>3.4</v>
      </c>
      <c r="O210" s="28">
        <v>2.3239999999999998</v>
      </c>
      <c r="P210" s="60">
        <v>14.1</v>
      </c>
      <c r="Q210" s="1">
        <v>76</v>
      </c>
      <c r="R210" s="60">
        <v>1.1000000000000001</v>
      </c>
      <c r="S210" s="1">
        <v>85</v>
      </c>
      <c r="T210" s="1">
        <v>52</v>
      </c>
      <c r="U210" s="1">
        <v>35</v>
      </c>
      <c r="V210" s="36">
        <v>5.3</v>
      </c>
    </row>
    <row r="211" spans="1:22" x14ac:dyDescent="0.2">
      <c r="A211" s="1">
        <v>21</v>
      </c>
      <c r="B211" s="1" t="s">
        <v>76</v>
      </c>
      <c r="C211" s="28">
        <v>2.4060000000000001</v>
      </c>
      <c r="D211" s="1">
        <v>19</v>
      </c>
      <c r="E211" s="1">
        <v>2</v>
      </c>
      <c r="F211" s="1">
        <v>3</v>
      </c>
      <c r="G211" s="11">
        <v>2.7519999999999998</v>
      </c>
      <c r="H211" s="12">
        <v>1.538</v>
      </c>
      <c r="I211" s="13">
        <v>2.7595000000000001</v>
      </c>
      <c r="J211" s="18">
        <f t="shared" si="7"/>
        <v>2.252967662709783</v>
      </c>
      <c r="K211" s="18">
        <f t="shared" si="6"/>
        <v>6.3604462714138439</v>
      </c>
      <c r="L211" s="56">
        <v>4.71</v>
      </c>
      <c r="M211" s="56">
        <v>5.55</v>
      </c>
      <c r="N211" s="1">
        <v>3.4</v>
      </c>
      <c r="O211" s="28">
        <v>2.3239999999999998</v>
      </c>
      <c r="P211" s="60">
        <v>14.1</v>
      </c>
      <c r="Q211" s="1">
        <v>76</v>
      </c>
      <c r="R211" s="60">
        <v>1.1000000000000001</v>
      </c>
      <c r="S211" s="1">
        <v>85</v>
      </c>
      <c r="T211" s="1">
        <v>52</v>
      </c>
      <c r="U211" s="1">
        <v>35</v>
      </c>
      <c r="V211" s="36">
        <v>5.3</v>
      </c>
    </row>
    <row r="212" spans="1:22" ht="16" thickBot="1" x14ac:dyDescent="0.25">
      <c r="A212" s="1">
        <v>21</v>
      </c>
      <c r="B212" s="1" t="s">
        <v>76</v>
      </c>
      <c r="C212" s="29">
        <v>2.4060000000000001</v>
      </c>
      <c r="D212" s="2">
        <v>19</v>
      </c>
      <c r="E212" s="2">
        <v>2</v>
      </c>
      <c r="F212" s="2">
        <v>4</v>
      </c>
      <c r="G212" s="16">
        <v>2.6240000000000001</v>
      </c>
      <c r="H212" s="10">
        <v>1.4644999999999999</v>
      </c>
      <c r="I212" s="17">
        <v>2.6274999999999999</v>
      </c>
      <c r="J212" s="20">
        <f t="shared" si="7"/>
        <v>2.2562338779019777</v>
      </c>
      <c r="K212" s="20">
        <f t="shared" si="6"/>
        <v>6.2246933540325173</v>
      </c>
      <c r="L212" s="57">
        <v>4.71</v>
      </c>
      <c r="M212" s="57">
        <v>5.55</v>
      </c>
      <c r="N212" s="2">
        <v>3.4</v>
      </c>
      <c r="O212" s="29">
        <v>2.3239999999999998</v>
      </c>
      <c r="P212" s="61">
        <v>14.1</v>
      </c>
      <c r="Q212" s="2">
        <v>76</v>
      </c>
      <c r="R212" s="61">
        <v>1.1000000000000001</v>
      </c>
      <c r="S212" s="2">
        <v>85</v>
      </c>
      <c r="T212" s="2">
        <v>52</v>
      </c>
      <c r="U212" s="2">
        <v>35</v>
      </c>
      <c r="V212" s="4">
        <v>5.3</v>
      </c>
    </row>
    <row r="213" spans="1:22" x14ac:dyDescent="0.2">
      <c r="A213" s="1">
        <v>22</v>
      </c>
      <c r="B213" s="1" t="s">
        <v>77</v>
      </c>
      <c r="C213" s="28">
        <v>2.39</v>
      </c>
      <c r="D213" s="1">
        <v>19</v>
      </c>
      <c r="E213" s="26">
        <v>1</v>
      </c>
      <c r="F213" s="26">
        <v>0</v>
      </c>
      <c r="G213" s="21">
        <v>24.083500000000001</v>
      </c>
      <c r="H213" s="22">
        <v>13.413500000000001</v>
      </c>
      <c r="I213" s="23">
        <v>24.312000000000001</v>
      </c>
      <c r="J213" s="24">
        <f t="shared" si="7"/>
        <v>2.209799513694545</v>
      </c>
      <c r="K213" s="24">
        <f t="shared" si="6"/>
        <v>7.5397693014834788</v>
      </c>
      <c r="L213" s="56">
        <v>4.78</v>
      </c>
      <c r="M213" s="56">
        <v>5.76</v>
      </c>
      <c r="N213" s="1">
        <v>3</v>
      </c>
      <c r="O213" s="28">
        <v>2.3180000000000001</v>
      </c>
      <c r="P213" s="60">
        <v>13.8</v>
      </c>
      <c r="Q213" s="1">
        <v>78</v>
      </c>
      <c r="R213" s="60">
        <v>1.2</v>
      </c>
      <c r="S213" s="1">
        <v>86</v>
      </c>
      <c r="T213" s="1">
        <v>55</v>
      </c>
      <c r="U213" s="1">
        <v>38</v>
      </c>
      <c r="V213" s="36">
        <v>5.7</v>
      </c>
    </row>
    <row r="214" spans="1:22" x14ac:dyDescent="0.2">
      <c r="A214" s="1">
        <v>22</v>
      </c>
      <c r="B214" s="1" t="s">
        <v>77</v>
      </c>
      <c r="C214" s="28">
        <v>2.39</v>
      </c>
      <c r="D214" s="1">
        <v>19</v>
      </c>
      <c r="E214" s="1">
        <v>1</v>
      </c>
      <c r="F214" s="1">
        <v>1</v>
      </c>
      <c r="G214" s="11">
        <v>2.6755</v>
      </c>
      <c r="H214" s="12">
        <v>1.4950000000000001</v>
      </c>
      <c r="I214" s="13">
        <v>2.6894999999999998</v>
      </c>
      <c r="J214" s="18">
        <f t="shared" si="7"/>
        <v>2.23984930933445</v>
      </c>
      <c r="K214" s="18">
        <f t="shared" si="6"/>
        <v>6.2824556763828472</v>
      </c>
      <c r="L214" s="56">
        <v>4.78</v>
      </c>
      <c r="M214" s="56">
        <v>5.76</v>
      </c>
      <c r="N214" s="1">
        <v>3</v>
      </c>
      <c r="O214" s="28">
        <v>2.3180000000000001</v>
      </c>
      <c r="P214" s="60">
        <v>13.8</v>
      </c>
      <c r="Q214" s="1">
        <v>78</v>
      </c>
      <c r="R214" s="60">
        <v>1.2</v>
      </c>
      <c r="S214" s="1">
        <v>86</v>
      </c>
      <c r="T214" s="1">
        <v>55</v>
      </c>
      <c r="U214" s="1">
        <v>38</v>
      </c>
      <c r="V214" s="36">
        <v>5.7</v>
      </c>
    </row>
    <row r="215" spans="1:22" x14ac:dyDescent="0.2">
      <c r="A215" s="1">
        <v>22</v>
      </c>
      <c r="B215" s="1" t="s">
        <v>77</v>
      </c>
      <c r="C215" s="28">
        <v>2.39</v>
      </c>
      <c r="D215" s="1">
        <v>19</v>
      </c>
      <c r="E215" s="1">
        <v>1</v>
      </c>
      <c r="F215" s="1">
        <v>2</v>
      </c>
      <c r="G215" s="11">
        <v>2.702</v>
      </c>
      <c r="H215" s="12">
        <v>1.5069999999999999</v>
      </c>
      <c r="I215" s="13">
        <v>2.7120000000000002</v>
      </c>
      <c r="J215" s="18">
        <f t="shared" si="7"/>
        <v>2.2423236514522817</v>
      </c>
      <c r="K215" s="18">
        <f t="shared" si="6"/>
        <v>6.1789267174777613</v>
      </c>
      <c r="L215" s="56">
        <v>4.78</v>
      </c>
      <c r="M215" s="56">
        <v>5.76</v>
      </c>
      <c r="N215" s="1">
        <v>3</v>
      </c>
      <c r="O215" s="28">
        <v>2.3180000000000001</v>
      </c>
      <c r="P215" s="60">
        <v>13.8</v>
      </c>
      <c r="Q215" s="1">
        <v>78</v>
      </c>
      <c r="R215" s="60">
        <v>1.2</v>
      </c>
      <c r="S215" s="1">
        <v>86</v>
      </c>
      <c r="T215" s="1">
        <v>55</v>
      </c>
      <c r="U215" s="1">
        <v>38</v>
      </c>
      <c r="V215" s="36">
        <v>5.7</v>
      </c>
    </row>
    <row r="216" spans="1:22" x14ac:dyDescent="0.2">
      <c r="A216" s="1">
        <v>22</v>
      </c>
      <c r="B216" s="1" t="s">
        <v>77</v>
      </c>
      <c r="C216" s="28">
        <v>2.39</v>
      </c>
      <c r="D216" s="1">
        <v>19</v>
      </c>
      <c r="E216" s="1">
        <v>1</v>
      </c>
      <c r="F216" s="1">
        <v>3</v>
      </c>
      <c r="G216" s="11">
        <v>2.5525000000000002</v>
      </c>
      <c r="H216" s="12">
        <v>1.419</v>
      </c>
      <c r="I216" s="13">
        <v>2.56</v>
      </c>
      <c r="J216" s="18">
        <f t="shared" si="7"/>
        <v>2.2370727432077127</v>
      </c>
      <c r="K216" s="18">
        <f t="shared" si="6"/>
        <v>6.398629991309102</v>
      </c>
      <c r="L216" s="56">
        <v>4.78</v>
      </c>
      <c r="M216" s="56">
        <v>5.76</v>
      </c>
      <c r="N216" s="1">
        <v>3</v>
      </c>
      <c r="O216" s="28">
        <v>2.3180000000000001</v>
      </c>
      <c r="P216" s="60">
        <v>13.8</v>
      </c>
      <c r="Q216" s="1">
        <v>78</v>
      </c>
      <c r="R216" s="60">
        <v>1.2</v>
      </c>
      <c r="S216" s="1">
        <v>86</v>
      </c>
      <c r="T216" s="1">
        <v>55</v>
      </c>
      <c r="U216" s="1">
        <v>38</v>
      </c>
      <c r="V216" s="36">
        <v>5.7</v>
      </c>
    </row>
    <row r="217" spans="1:22" x14ac:dyDescent="0.2">
      <c r="A217" s="1">
        <v>22</v>
      </c>
      <c r="B217" s="1" t="s">
        <v>77</v>
      </c>
      <c r="C217" s="28">
        <v>2.39</v>
      </c>
      <c r="D217" s="1">
        <v>19</v>
      </c>
      <c r="E217" s="5">
        <v>1</v>
      </c>
      <c r="F217" s="5">
        <v>4</v>
      </c>
      <c r="G217" s="14">
        <v>2.6695000000000002</v>
      </c>
      <c r="H217" s="9">
        <v>1.494</v>
      </c>
      <c r="I217" s="15">
        <v>2.6894999999999998</v>
      </c>
      <c r="J217" s="19">
        <f t="shared" si="7"/>
        <v>2.2329569217900467</v>
      </c>
      <c r="K217" s="19">
        <f t="shared" si="6"/>
        <v>6.5708400924666677</v>
      </c>
      <c r="L217" s="58">
        <v>4.78</v>
      </c>
      <c r="M217" s="58">
        <v>5.76</v>
      </c>
      <c r="N217" s="5">
        <v>3</v>
      </c>
      <c r="O217" s="53">
        <v>2.3180000000000001</v>
      </c>
      <c r="P217" s="62">
        <v>13.8</v>
      </c>
      <c r="Q217" s="5">
        <v>78</v>
      </c>
      <c r="R217" s="62">
        <v>1.2</v>
      </c>
      <c r="S217" s="5">
        <v>86</v>
      </c>
      <c r="T217" s="5">
        <v>55</v>
      </c>
      <c r="U217" s="5">
        <v>38</v>
      </c>
      <c r="V217" s="43">
        <v>5.7</v>
      </c>
    </row>
    <row r="218" spans="1:22" x14ac:dyDescent="0.2">
      <c r="A218" s="1">
        <v>22</v>
      </c>
      <c r="B218" s="1" t="s">
        <v>78</v>
      </c>
      <c r="C218" s="28">
        <v>2.39</v>
      </c>
      <c r="D218" s="1">
        <v>19</v>
      </c>
      <c r="E218" s="26">
        <v>2</v>
      </c>
      <c r="F218" s="26">
        <v>0</v>
      </c>
      <c r="G218" s="21">
        <v>24.032</v>
      </c>
      <c r="H218" s="22">
        <v>13.336499999999999</v>
      </c>
      <c r="I218" s="23">
        <v>24.250499999999999</v>
      </c>
      <c r="J218" s="24">
        <f t="shared" si="7"/>
        <v>2.2019424592266814</v>
      </c>
      <c r="K218" s="24">
        <f t="shared" si="6"/>
        <v>7.8685163503480648</v>
      </c>
      <c r="L218" s="56">
        <v>4.78</v>
      </c>
      <c r="M218" s="56">
        <v>5.76</v>
      </c>
      <c r="N218" s="1">
        <v>3</v>
      </c>
      <c r="O218" s="28">
        <v>2.3180000000000001</v>
      </c>
      <c r="P218" s="60">
        <v>13.8</v>
      </c>
      <c r="Q218" s="1">
        <v>78</v>
      </c>
      <c r="R218" s="60">
        <v>1.2</v>
      </c>
      <c r="S218" s="1">
        <v>86</v>
      </c>
      <c r="T218" s="1">
        <v>55</v>
      </c>
      <c r="U218" s="1">
        <v>38</v>
      </c>
      <c r="V218" s="36">
        <v>5.7</v>
      </c>
    </row>
    <row r="219" spans="1:22" x14ac:dyDescent="0.2">
      <c r="A219" s="1">
        <v>22</v>
      </c>
      <c r="B219" s="1" t="s">
        <v>78</v>
      </c>
      <c r="C219" s="28">
        <v>2.39</v>
      </c>
      <c r="D219" s="1">
        <v>19</v>
      </c>
      <c r="E219" s="1">
        <v>2</v>
      </c>
      <c r="F219" s="1">
        <v>1</v>
      </c>
      <c r="G219" s="11">
        <v>2.6920000000000002</v>
      </c>
      <c r="H219" s="12">
        <v>1.482</v>
      </c>
      <c r="I219" s="13">
        <v>2.7065000000000001</v>
      </c>
      <c r="J219" s="18">
        <f t="shared" si="7"/>
        <v>2.1984483462637812</v>
      </c>
      <c r="K219" s="18">
        <f t="shared" si="6"/>
        <v>8.0147135454484939</v>
      </c>
      <c r="L219" s="56">
        <v>4.78</v>
      </c>
      <c r="M219" s="56">
        <v>5.76</v>
      </c>
      <c r="N219" s="1">
        <v>3</v>
      </c>
      <c r="O219" s="28">
        <v>2.3180000000000001</v>
      </c>
      <c r="P219" s="60">
        <v>13.8</v>
      </c>
      <c r="Q219" s="1">
        <v>78</v>
      </c>
      <c r="R219" s="60">
        <v>1.2</v>
      </c>
      <c r="S219" s="1">
        <v>86</v>
      </c>
      <c r="T219" s="1">
        <v>55</v>
      </c>
      <c r="U219" s="1">
        <v>38</v>
      </c>
      <c r="V219" s="36">
        <v>5.7</v>
      </c>
    </row>
    <row r="220" spans="1:22" x14ac:dyDescent="0.2">
      <c r="A220" s="1">
        <v>22</v>
      </c>
      <c r="B220" s="1" t="s">
        <v>78</v>
      </c>
      <c r="C220" s="28">
        <v>2.39</v>
      </c>
      <c r="D220" s="1">
        <v>19</v>
      </c>
      <c r="E220" s="1">
        <v>2</v>
      </c>
      <c r="F220" s="1">
        <v>2</v>
      </c>
      <c r="G220" s="11">
        <v>2.7065000000000001</v>
      </c>
      <c r="H220" s="12">
        <v>1.502</v>
      </c>
      <c r="I220" s="13">
        <v>2.7214999999999998</v>
      </c>
      <c r="J220" s="18">
        <f t="shared" si="7"/>
        <v>2.2193521935219356</v>
      </c>
      <c r="K220" s="18">
        <f t="shared" si="6"/>
        <v>7.1400755848562536</v>
      </c>
      <c r="L220" s="56">
        <v>4.78</v>
      </c>
      <c r="M220" s="56">
        <v>5.76</v>
      </c>
      <c r="N220" s="1">
        <v>3</v>
      </c>
      <c r="O220" s="28">
        <v>2.3180000000000001</v>
      </c>
      <c r="P220" s="60">
        <v>13.8</v>
      </c>
      <c r="Q220" s="1">
        <v>78</v>
      </c>
      <c r="R220" s="60">
        <v>1.2</v>
      </c>
      <c r="S220" s="1">
        <v>86</v>
      </c>
      <c r="T220" s="1">
        <v>55</v>
      </c>
      <c r="U220" s="1">
        <v>38</v>
      </c>
      <c r="V220" s="36">
        <v>5.7</v>
      </c>
    </row>
    <row r="221" spans="1:22" x14ac:dyDescent="0.2">
      <c r="A221" s="1">
        <v>22</v>
      </c>
      <c r="B221" s="1" t="s">
        <v>78</v>
      </c>
      <c r="C221" s="28">
        <v>2.39</v>
      </c>
      <c r="D221" s="1">
        <v>19</v>
      </c>
      <c r="E221" s="1">
        <v>2</v>
      </c>
      <c r="F221" s="1">
        <v>3</v>
      </c>
      <c r="G221" s="11">
        <v>2.62</v>
      </c>
      <c r="H221" s="12">
        <v>1.4575</v>
      </c>
      <c r="I221" s="13">
        <v>2.6345000000000001</v>
      </c>
      <c r="J221" s="18">
        <f t="shared" si="7"/>
        <v>2.225998300764656</v>
      </c>
      <c r="K221" s="18">
        <f t="shared" si="6"/>
        <v>6.8619957839056163</v>
      </c>
      <c r="L221" s="56">
        <v>4.78</v>
      </c>
      <c r="M221" s="56">
        <v>5.76</v>
      </c>
      <c r="N221" s="1">
        <v>3</v>
      </c>
      <c r="O221" s="28">
        <v>2.3180000000000001</v>
      </c>
      <c r="P221" s="60">
        <v>13.8</v>
      </c>
      <c r="Q221" s="1">
        <v>78</v>
      </c>
      <c r="R221" s="60">
        <v>1.2</v>
      </c>
      <c r="S221" s="1">
        <v>86</v>
      </c>
      <c r="T221" s="1">
        <v>55</v>
      </c>
      <c r="U221" s="1">
        <v>38</v>
      </c>
      <c r="V221" s="36">
        <v>5.7</v>
      </c>
    </row>
    <row r="222" spans="1:22" ht="16" thickBot="1" x14ac:dyDescent="0.25">
      <c r="A222" s="1">
        <v>22</v>
      </c>
      <c r="B222" s="1" t="s">
        <v>78</v>
      </c>
      <c r="C222" s="29">
        <v>2.39</v>
      </c>
      <c r="D222" s="2">
        <v>19</v>
      </c>
      <c r="E222" s="2">
        <v>2</v>
      </c>
      <c r="F222" s="2">
        <v>4</v>
      </c>
      <c r="G222" s="16">
        <v>2.6305000000000001</v>
      </c>
      <c r="H222" s="10">
        <v>1.466</v>
      </c>
      <c r="I222" s="17">
        <v>2.65</v>
      </c>
      <c r="J222" s="20">
        <f t="shared" si="7"/>
        <v>2.2217060810810811</v>
      </c>
      <c r="K222" s="20">
        <f t="shared" si="6"/>
        <v>7.041586565645142</v>
      </c>
      <c r="L222" s="57">
        <v>4.78</v>
      </c>
      <c r="M222" s="57">
        <v>5.76</v>
      </c>
      <c r="N222" s="2">
        <v>3</v>
      </c>
      <c r="O222" s="29">
        <v>2.3180000000000001</v>
      </c>
      <c r="P222" s="61">
        <v>13.8</v>
      </c>
      <c r="Q222" s="2">
        <v>78</v>
      </c>
      <c r="R222" s="61">
        <v>1.2</v>
      </c>
      <c r="S222" s="2">
        <v>86</v>
      </c>
      <c r="T222" s="2">
        <v>55</v>
      </c>
      <c r="U222" s="2">
        <v>38</v>
      </c>
      <c r="V222" s="4">
        <v>5.7</v>
      </c>
    </row>
    <row r="223" spans="1:22" x14ac:dyDescent="0.2">
      <c r="A223" s="1">
        <v>23</v>
      </c>
      <c r="B223" s="1" t="s">
        <v>79</v>
      </c>
      <c r="C223" s="28">
        <v>2.41</v>
      </c>
      <c r="D223" s="1">
        <v>19</v>
      </c>
      <c r="E223" s="26">
        <v>1</v>
      </c>
      <c r="F223" s="26">
        <v>0</v>
      </c>
      <c r="G223" s="21">
        <v>23.9055</v>
      </c>
      <c r="H223" s="22">
        <v>13.401</v>
      </c>
      <c r="I223" s="23">
        <v>24.184000000000001</v>
      </c>
      <c r="J223" s="24">
        <f t="shared" si="7"/>
        <v>2.2169618844477417</v>
      </c>
      <c r="K223" s="24">
        <f t="shared" si="6"/>
        <v>8.0098803133717205</v>
      </c>
      <c r="L223" s="56">
        <v>4.45</v>
      </c>
      <c r="M223" s="56">
        <v>5.47</v>
      </c>
      <c r="N223" s="1">
        <v>3.3</v>
      </c>
      <c r="O223" s="28">
        <v>2.3290000000000002</v>
      </c>
      <c r="P223" s="60">
        <v>13.5</v>
      </c>
      <c r="Q223" s="1">
        <v>75</v>
      </c>
      <c r="R223" s="60">
        <v>1.2</v>
      </c>
      <c r="S223" s="1">
        <v>85</v>
      </c>
      <c r="T223" s="1">
        <v>53</v>
      </c>
      <c r="U223" s="1">
        <v>36</v>
      </c>
      <c r="V223" s="36">
        <v>5.4</v>
      </c>
    </row>
    <row r="224" spans="1:22" x14ac:dyDescent="0.2">
      <c r="A224" s="1">
        <v>23</v>
      </c>
      <c r="B224" s="1" t="s">
        <v>79</v>
      </c>
      <c r="C224" s="28">
        <v>2.41</v>
      </c>
      <c r="D224" s="1">
        <v>19</v>
      </c>
      <c r="E224" s="1">
        <v>1</v>
      </c>
      <c r="F224" s="1">
        <v>1</v>
      </c>
      <c r="G224" s="11">
        <v>2.6760000000000002</v>
      </c>
      <c r="H224" s="12">
        <v>1.486</v>
      </c>
      <c r="I224" s="13">
        <v>2.6825000000000001</v>
      </c>
      <c r="J224" s="18">
        <f>+IF(G224=0,"",G224/(I224-H224))</f>
        <v>2.2365231926452149</v>
      </c>
      <c r="K224" s="18">
        <f t="shared" si="6"/>
        <v>7.1982077740574741</v>
      </c>
      <c r="L224" s="56">
        <v>4.45</v>
      </c>
      <c r="M224" s="56">
        <v>5.47</v>
      </c>
      <c r="N224" s="1">
        <v>3.3</v>
      </c>
      <c r="O224" s="28">
        <v>2.3290000000000002</v>
      </c>
      <c r="P224" s="60">
        <v>13.5</v>
      </c>
      <c r="Q224" s="1">
        <v>75</v>
      </c>
      <c r="R224" s="60">
        <v>1.2</v>
      </c>
      <c r="S224" s="1">
        <v>85</v>
      </c>
      <c r="T224" s="1">
        <v>53</v>
      </c>
      <c r="U224" s="1">
        <v>36</v>
      </c>
      <c r="V224" s="36">
        <v>5.4</v>
      </c>
    </row>
    <row r="225" spans="1:22" x14ac:dyDescent="0.2">
      <c r="A225" s="1">
        <v>23</v>
      </c>
      <c r="B225" s="1" t="s">
        <v>79</v>
      </c>
      <c r="C225" s="28">
        <v>2.41</v>
      </c>
      <c r="D225" s="1">
        <v>19</v>
      </c>
      <c r="E225" s="1">
        <v>1</v>
      </c>
      <c r="F225" s="1">
        <v>2</v>
      </c>
      <c r="G225" s="11">
        <v>2.653</v>
      </c>
      <c r="H225" s="12">
        <v>1.4764999999999999</v>
      </c>
      <c r="I225" s="13">
        <v>2.6589999999999998</v>
      </c>
      <c r="J225" s="18">
        <f>+IF(G225=0,"",G225/(I225-H225))</f>
        <v>2.2435517970401695</v>
      </c>
      <c r="K225" s="18">
        <f t="shared" si="6"/>
        <v>6.9065644381672513</v>
      </c>
      <c r="L225" s="56">
        <v>4.45</v>
      </c>
      <c r="M225" s="56">
        <v>5.47</v>
      </c>
      <c r="N225" s="1">
        <v>3.3</v>
      </c>
      <c r="O225" s="28">
        <v>2.3290000000000002</v>
      </c>
      <c r="P225" s="60">
        <v>13.5</v>
      </c>
      <c r="Q225" s="1">
        <v>75</v>
      </c>
      <c r="R225" s="60">
        <v>1.2</v>
      </c>
      <c r="S225" s="1">
        <v>85</v>
      </c>
      <c r="T225" s="1">
        <v>53</v>
      </c>
      <c r="U225" s="1">
        <v>36</v>
      </c>
      <c r="V225" s="36">
        <v>5.4</v>
      </c>
    </row>
    <row r="226" spans="1:22" x14ac:dyDescent="0.2">
      <c r="A226" s="1">
        <v>23</v>
      </c>
      <c r="B226" s="1" t="s">
        <v>79</v>
      </c>
      <c r="C226" s="28">
        <v>2.41</v>
      </c>
      <c r="D226" s="1">
        <v>19</v>
      </c>
      <c r="E226" s="1">
        <v>1</v>
      </c>
      <c r="F226" s="1">
        <v>3</v>
      </c>
      <c r="G226" s="11">
        <v>2.7052</v>
      </c>
      <c r="H226" s="12">
        <v>1.5145</v>
      </c>
      <c r="I226" s="13">
        <v>2.7160000000000002</v>
      </c>
      <c r="J226" s="18">
        <f>+IF(G226=0,"",G226/(I226-H226))</f>
        <v>2.2515189346650017</v>
      </c>
      <c r="K226" s="18">
        <f t="shared" si="6"/>
        <v>6.5759778147302272</v>
      </c>
      <c r="L226" s="56">
        <v>4.45</v>
      </c>
      <c r="M226" s="56">
        <v>5.47</v>
      </c>
      <c r="N226" s="1">
        <v>3.3</v>
      </c>
      <c r="O226" s="28">
        <v>2.3290000000000002</v>
      </c>
      <c r="P226" s="60">
        <v>13.5</v>
      </c>
      <c r="Q226" s="1">
        <v>75</v>
      </c>
      <c r="R226" s="60">
        <v>1.2</v>
      </c>
      <c r="S226" s="1">
        <v>85</v>
      </c>
      <c r="T226" s="1">
        <v>53</v>
      </c>
      <c r="U226" s="1">
        <v>36</v>
      </c>
      <c r="V226" s="36">
        <v>5.4</v>
      </c>
    </row>
    <row r="227" spans="1:22" x14ac:dyDescent="0.2">
      <c r="A227" s="1">
        <v>23</v>
      </c>
      <c r="B227" s="1" t="s">
        <v>79</v>
      </c>
      <c r="C227" s="28">
        <v>2.41</v>
      </c>
      <c r="D227" s="1">
        <v>19</v>
      </c>
      <c r="E227" s="5">
        <v>1</v>
      </c>
      <c r="F227" s="5">
        <v>4</v>
      </c>
      <c r="G227" s="14">
        <v>2.6739999999999999</v>
      </c>
      <c r="H227" s="9">
        <v>1.49</v>
      </c>
      <c r="I227" s="15">
        <v>2.681</v>
      </c>
      <c r="J227" s="19">
        <f>+IF(G227=0,"",G227/(I227-H227))</f>
        <v>2.2451721242653231</v>
      </c>
      <c r="K227" s="19">
        <f t="shared" si="6"/>
        <v>6.8393309433475995</v>
      </c>
      <c r="L227" s="58">
        <v>4.45</v>
      </c>
      <c r="M227" s="58">
        <v>5.47</v>
      </c>
      <c r="N227" s="5">
        <v>3.3</v>
      </c>
      <c r="O227" s="53">
        <v>2.3290000000000002</v>
      </c>
      <c r="P227" s="62">
        <v>13.5</v>
      </c>
      <c r="Q227" s="5">
        <v>75</v>
      </c>
      <c r="R227" s="62">
        <v>1.2</v>
      </c>
      <c r="S227" s="5">
        <v>85</v>
      </c>
      <c r="T227" s="5">
        <v>53</v>
      </c>
      <c r="U227" s="5">
        <v>36</v>
      </c>
      <c r="V227" s="43">
        <v>5.4</v>
      </c>
    </row>
    <row r="228" spans="1:22" x14ac:dyDescent="0.2">
      <c r="A228" s="1">
        <v>23</v>
      </c>
      <c r="B228" s="1" t="s">
        <v>80</v>
      </c>
      <c r="C228" s="28">
        <v>2.41</v>
      </c>
      <c r="D228" s="1">
        <v>19</v>
      </c>
      <c r="E228" s="26">
        <v>2</v>
      </c>
      <c r="F228" s="26">
        <v>0</v>
      </c>
      <c r="G228" s="21">
        <v>23.919499999999999</v>
      </c>
      <c r="H228" s="22">
        <v>13.4405</v>
      </c>
      <c r="I228" s="23">
        <v>24.207999999999998</v>
      </c>
      <c r="J228" s="24">
        <f t="shared" si="7"/>
        <v>2.2214534478755517</v>
      </c>
      <c r="K228" s="24">
        <f t="shared" si="6"/>
        <v>7.8235083869065747</v>
      </c>
      <c r="L228" s="56">
        <v>4.45</v>
      </c>
      <c r="M228" s="56">
        <v>5.47</v>
      </c>
      <c r="N228" s="1">
        <v>3.3</v>
      </c>
      <c r="O228" s="28">
        <v>2.3290000000000002</v>
      </c>
      <c r="P228" s="60">
        <v>13.5</v>
      </c>
      <c r="Q228" s="1">
        <v>75</v>
      </c>
      <c r="R228" s="60">
        <v>1.2</v>
      </c>
      <c r="S228" s="1">
        <v>85</v>
      </c>
      <c r="T228" s="1">
        <v>53</v>
      </c>
      <c r="U228" s="1">
        <v>36</v>
      </c>
      <c r="V228" s="36">
        <v>5.4</v>
      </c>
    </row>
    <row r="229" spans="1:22" x14ac:dyDescent="0.2">
      <c r="A229" s="1">
        <v>23</v>
      </c>
      <c r="B229" s="1" t="s">
        <v>80</v>
      </c>
      <c r="C229" s="28">
        <v>2.41</v>
      </c>
      <c r="D229" s="1">
        <v>19</v>
      </c>
      <c r="E229" s="1">
        <v>2</v>
      </c>
      <c r="F229" s="1">
        <v>1</v>
      </c>
      <c r="G229" s="11">
        <v>2.6905000000000001</v>
      </c>
      <c r="H229" s="12">
        <v>1.502</v>
      </c>
      <c r="I229" s="13">
        <v>2.6945000000000001</v>
      </c>
      <c r="J229" s="18">
        <f t="shared" si="7"/>
        <v>2.2561844863731655</v>
      </c>
      <c r="K229" s="18">
        <f t="shared" si="6"/>
        <v>6.3823864575450084</v>
      </c>
      <c r="L229" s="56">
        <v>4.45</v>
      </c>
      <c r="M229" s="56">
        <v>5.47</v>
      </c>
      <c r="N229" s="1">
        <v>3.3</v>
      </c>
      <c r="O229" s="28">
        <v>2.3290000000000002</v>
      </c>
      <c r="P229" s="60">
        <v>13.5</v>
      </c>
      <c r="Q229" s="1">
        <v>75</v>
      </c>
      <c r="R229" s="60">
        <v>1.2</v>
      </c>
      <c r="S229" s="1">
        <v>85</v>
      </c>
      <c r="T229" s="1">
        <v>53</v>
      </c>
      <c r="U229" s="1">
        <v>36</v>
      </c>
      <c r="V229" s="36">
        <v>5.4</v>
      </c>
    </row>
    <row r="230" spans="1:22" x14ac:dyDescent="0.2">
      <c r="A230" s="1">
        <v>23</v>
      </c>
      <c r="B230" s="1" t="s">
        <v>80</v>
      </c>
      <c r="C230" s="28">
        <v>2.41</v>
      </c>
      <c r="D230" s="1">
        <v>19</v>
      </c>
      <c r="E230" s="1">
        <v>2</v>
      </c>
      <c r="F230" s="1">
        <v>2</v>
      </c>
      <c r="G230" s="11">
        <v>2.6549999999999998</v>
      </c>
      <c r="H230" s="12">
        <v>1.4810000000000001</v>
      </c>
      <c r="I230" s="13">
        <v>2.6595</v>
      </c>
      <c r="J230" s="18">
        <f t="shared" si="7"/>
        <v>2.2528638099278746</v>
      </c>
      <c r="K230" s="18">
        <f t="shared" si="6"/>
        <v>6.5201738619139249</v>
      </c>
      <c r="L230" s="56">
        <v>4.45</v>
      </c>
      <c r="M230" s="56">
        <v>5.47</v>
      </c>
      <c r="N230" s="1">
        <v>3.3</v>
      </c>
      <c r="O230" s="28">
        <v>2.3290000000000002</v>
      </c>
      <c r="P230" s="60">
        <v>13.5</v>
      </c>
      <c r="Q230" s="1">
        <v>75</v>
      </c>
      <c r="R230" s="60">
        <v>1.2</v>
      </c>
      <c r="S230" s="1">
        <v>85</v>
      </c>
      <c r="T230" s="1">
        <v>53</v>
      </c>
      <c r="U230" s="1">
        <v>36</v>
      </c>
      <c r="V230" s="36">
        <v>5.4</v>
      </c>
    </row>
    <row r="231" spans="1:22" x14ac:dyDescent="0.2">
      <c r="A231" s="1">
        <v>23</v>
      </c>
      <c r="B231" s="1" t="s">
        <v>80</v>
      </c>
      <c r="C231" s="28">
        <v>2.41</v>
      </c>
      <c r="D231" s="1">
        <v>19</v>
      </c>
      <c r="E231" s="1">
        <v>2</v>
      </c>
      <c r="F231" s="1">
        <v>3</v>
      </c>
      <c r="G231" s="11">
        <v>2.67</v>
      </c>
      <c r="H231" s="12">
        <v>1.4955000000000001</v>
      </c>
      <c r="I231" s="13">
        <v>2.6735000000000002</v>
      </c>
      <c r="J231" s="18">
        <f t="shared" si="7"/>
        <v>2.2665534804753817</v>
      </c>
      <c r="K231" s="18">
        <f t="shared" si="6"/>
        <v>5.9521377396107189</v>
      </c>
      <c r="L231" s="56">
        <v>4.45</v>
      </c>
      <c r="M231" s="56">
        <v>5.47</v>
      </c>
      <c r="N231" s="1">
        <v>3.3</v>
      </c>
      <c r="O231" s="28">
        <v>2.3290000000000002</v>
      </c>
      <c r="P231" s="60">
        <v>13.5</v>
      </c>
      <c r="Q231" s="1">
        <v>75</v>
      </c>
      <c r="R231" s="60">
        <v>1.2</v>
      </c>
      <c r="S231" s="1">
        <v>85</v>
      </c>
      <c r="T231" s="1">
        <v>53</v>
      </c>
      <c r="U231" s="1">
        <v>36</v>
      </c>
      <c r="V231" s="36">
        <v>5.4</v>
      </c>
    </row>
    <row r="232" spans="1:22" ht="16" thickBot="1" x14ac:dyDescent="0.25">
      <c r="A232" s="1">
        <v>23</v>
      </c>
      <c r="B232" s="1" t="s">
        <v>80</v>
      </c>
      <c r="C232" s="29">
        <v>2.41</v>
      </c>
      <c r="D232" s="2">
        <v>19</v>
      </c>
      <c r="E232" s="2">
        <v>2</v>
      </c>
      <c r="F232" s="2">
        <v>4</v>
      </c>
      <c r="G232" s="16">
        <v>2.7635000000000001</v>
      </c>
      <c r="H232" s="10">
        <v>1.5425</v>
      </c>
      <c r="I232" s="17">
        <v>2.7694999999999999</v>
      </c>
      <c r="J232" s="20">
        <f t="shared" si="7"/>
        <v>2.2522412387938062</v>
      </c>
      <c r="K232" s="20">
        <f t="shared" si="6"/>
        <v>6.5460066890536854</v>
      </c>
      <c r="L232" s="57">
        <v>4.45</v>
      </c>
      <c r="M232" s="57">
        <v>5.47</v>
      </c>
      <c r="N232" s="2">
        <v>3.3</v>
      </c>
      <c r="O232" s="29">
        <v>2.3290000000000002</v>
      </c>
      <c r="P232" s="61">
        <v>13.5</v>
      </c>
      <c r="Q232" s="2">
        <v>75</v>
      </c>
      <c r="R232" s="61">
        <v>1.2</v>
      </c>
      <c r="S232" s="2">
        <v>85</v>
      </c>
      <c r="T232" s="2">
        <v>53</v>
      </c>
      <c r="U232" s="2">
        <v>36</v>
      </c>
      <c r="V232" s="4">
        <v>5.4</v>
      </c>
    </row>
    <row r="233" spans="1:22" x14ac:dyDescent="0.2">
      <c r="A233" s="1">
        <v>24</v>
      </c>
      <c r="B233" s="1" t="s">
        <v>81</v>
      </c>
      <c r="C233" s="28">
        <v>2.4060000000000001</v>
      </c>
      <c r="D233" s="1">
        <v>19</v>
      </c>
      <c r="E233" s="26">
        <v>1</v>
      </c>
      <c r="F233" s="26">
        <v>0</v>
      </c>
      <c r="G233" s="21">
        <v>24.115500000000001</v>
      </c>
      <c r="H233" s="22">
        <v>13.566000000000001</v>
      </c>
      <c r="I233" s="23">
        <v>24.421500000000002</v>
      </c>
      <c r="J233" s="24">
        <f t="shared" si="7"/>
        <v>2.2215006218046152</v>
      </c>
      <c r="K233" s="24">
        <f t="shared" si="6"/>
        <v>7.668303333141524</v>
      </c>
      <c r="L233" s="56">
        <v>4.47</v>
      </c>
      <c r="M233" s="56">
        <v>5.36</v>
      </c>
      <c r="N233" s="1">
        <v>3.6</v>
      </c>
      <c r="O233" s="28">
        <v>2.3180000000000001</v>
      </c>
      <c r="P233" s="60">
        <v>13.8</v>
      </c>
      <c r="Q233" s="1">
        <v>74</v>
      </c>
      <c r="R233" s="60">
        <v>1.2</v>
      </c>
      <c r="S233" s="1">
        <v>84</v>
      </c>
      <c r="T233" s="1">
        <v>52</v>
      </c>
      <c r="U233" s="1">
        <v>35</v>
      </c>
      <c r="V233" s="36">
        <v>5.2</v>
      </c>
    </row>
    <row r="234" spans="1:22" x14ac:dyDescent="0.2">
      <c r="A234" s="1">
        <v>24</v>
      </c>
      <c r="B234" s="1" t="s">
        <v>81</v>
      </c>
      <c r="C234" s="28">
        <v>2.4060000000000001</v>
      </c>
      <c r="D234" s="1">
        <v>19</v>
      </c>
      <c r="E234" s="1">
        <v>1</v>
      </c>
      <c r="F234" s="1">
        <v>1</v>
      </c>
      <c r="G234" s="11">
        <v>2.6160000000000001</v>
      </c>
      <c r="H234" s="12">
        <v>1.4644999999999999</v>
      </c>
      <c r="I234" s="13">
        <v>2.6375000000000002</v>
      </c>
      <c r="J234" s="18">
        <f t="shared" si="7"/>
        <v>2.2301790281329921</v>
      </c>
      <c r="K234" s="18">
        <f t="shared" si="6"/>
        <v>7.3076048157526223</v>
      </c>
      <c r="L234" s="56">
        <v>4.47</v>
      </c>
      <c r="M234" s="56">
        <v>5.36</v>
      </c>
      <c r="N234" s="1">
        <v>3.6</v>
      </c>
      <c r="O234" s="28">
        <v>2.3180000000000001</v>
      </c>
      <c r="P234" s="60">
        <v>13.8</v>
      </c>
      <c r="Q234" s="1">
        <v>74</v>
      </c>
      <c r="R234" s="60">
        <v>1.2</v>
      </c>
      <c r="S234" s="1">
        <v>84</v>
      </c>
      <c r="T234" s="1">
        <v>52</v>
      </c>
      <c r="U234" s="1">
        <v>35</v>
      </c>
      <c r="V234" s="36">
        <v>5.2</v>
      </c>
    </row>
    <row r="235" spans="1:22" x14ac:dyDescent="0.2">
      <c r="A235" s="1">
        <v>24</v>
      </c>
      <c r="B235" s="1" t="s">
        <v>81</v>
      </c>
      <c r="C235" s="28">
        <v>2.4060000000000001</v>
      </c>
      <c r="D235" s="1">
        <v>19</v>
      </c>
      <c r="E235" s="1">
        <v>1</v>
      </c>
      <c r="F235" s="1">
        <v>2</v>
      </c>
      <c r="G235" s="11">
        <v>2.5459999999999998</v>
      </c>
      <c r="H235" s="12">
        <v>1.417</v>
      </c>
      <c r="I235" s="13">
        <v>2.5575000000000001</v>
      </c>
      <c r="J235" s="18">
        <f t="shared" si="7"/>
        <v>2.2323542306006137</v>
      </c>
      <c r="K235" s="18">
        <f t="shared" si="6"/>
        <v>7.2171973981457356</v>
      </c>
      <c r="L235" s="56">
        <v>4.47</v>
      </c>
      <c r="M235" s="56">
        <v>5.36</v>
      </c>
      <c r="N235" s="1">
        <v>3.6</v>
      </c>
      <c r="O235" s="28">
        <v>2.3180000000000001</v>
      </c>
      <c r="P235" s="60">
        <v>13.8</v>
      </c>
      <c r="Q235" s="1">
        <v>74</v>
      </c>
      <c r="R235" s="60">
        <v>1.2</v>
      </c>
      <c r="S235" s="1">
        <v>84</v>
      </c>
      <c r="T235" s="1">
        <v>52</v>
      </c>
      <c r="U235" s="1">
        <v>35</v>
      </c>
      <c r="V235" s="36">
        <v>5.2</v>
      </c>
    </row>
    <row r="236" spans="1:22" x14ac:dyDescent="0.2">
      <c r="A236" s="1">
        <v>24</v>
      </c>
      <c r="B236" s="1" t="s">
        <v>81</v>
      </c>
      <c r="C236" s="28">
        <v>2.4060000000000001</v>
      </c>
      <c r="D236" s="1">
        <v>19</v>
      </c>
      <c r="E236" s="1">
        <v>1</v>
      </c>
      <c r="F236" s="1">
        <v>3</v>
      </c>
      <c r="G236" s="11">
        <v>2.6884999999999999</v>
      </c>
      <c r="H236" s="12">
        <v>1.504</v>
      </c>
      <c r="I236" s="13">
        <v>2.706</v>
      </c>
      <c r="J236" s="18">
        <f t="shared" si="7"/>
        <v>2.2366888519134775</v>
      </c>
      <c r="K236" s="18">
        <f t="shared" si="6"/>
        <v>7.0370385738371848</v>
      </c>
      <c r="L236" s="56">
        <v>4.47</v>
      </c>
      <c r="M236" s="56">
        <v>5.36</v>
      </c>
      <c r="N236" s="1">
        <v>3.6</v>
      </c>
      <c r="O236" s="28">
        <v>2.3180000000000001</v>
      </c>
      <c r="P236" s="60">
        <v>13.8</v>
      </c>
      <c r="Q236" s="1">
        <v>74</v>
      </c>
      <c r="R236" s="60">
        <v>1.2</v>
      </c>
      <c r="S236" s="1">
        <v>84</v>
      </c>
      <c r="T236" s="1">
        <v>52</v>
      </c>
      <c r="U236" s="1">
        <v>35</v>
      </c>
      <c r="V236" s="36">
        <v>5.2</v>
      </c>
    </row>
    <row r="237" spans="1:22" x14ac:dyDescent="0.2">
      <c r="A237" s="1">
        <v>24</v>
      </c>
      <c r="B237" s="1" t="s">
        <v>81</v>
      </c>
      <c r="C237" s="28">
        <v>2.4060000000000001</v>
      </c>
      <c r="D237" s="1">
        <v>19</v>
      </c>
      <c r="E237" s="5">
        <v>1</v>
      </c>
      <c r="F237" s="5">
        <v>4</v>
      </c>
      <c r="G237" s="14">
        <v>2.6225000000000001</v>
      </c>
      <c r="H237" s="9">
        <v>1.4544999999999999</v>
      </c>
      <c r="I237" s="15">
        <v>2.6339999999999999</v>
      </c>
      <c r="J237" s="19">
        <f t="shared" si="7"/>
        <v>2.2233997456549388</v>
      </c>
      <c r="K237" s="19">
        <f t="shared" si="6"/>
        <v>7.5893705047822664</v>
      </c>
      <c r="L237" s="58">
        <v>4.47</v>
      </c>
      <c r="M237" s="58">
        <v>5.36</v>
      </c>
      <c r="N237" s="5">
        <v>3.6</v>
      </c>
      <c r="O237" s="53">
        <v>2.3180000000000001</v>
      </c>
      <c r="P237" s="62">
        <v>13.8</v>
      </c>
      <c r="Q237" s="5">
        <v>74</v>
      </c>
      <c r="R237" s="62">
        <v>1.2</v>
      </c>
      <c r="S237" s="5">
        <v>84</v>
      </c>
      <c r="T237" s="5">
        <v>52</v>
      </c>
      <c r="U237" s="5">
        <v>35</v>
      </c>
      <c r="V237" s="43">
        <v>5.2</v>
      </c>
    </row>
    <row r="238" spans="1:22" x14ac:dyDescent="0.2">
      <c r="A238" s="1">
        <v>24</v>
      </c>
      <c r="B238" s="1" t="s">
        <v>82</v>
      </c>
      <c r="C238" s="28">
        <v>2.4060000000000001</v>
      </c>
      <c r="D238" s="1">
        <v>19</v>
      </c>
      <c r="E238" s="26">
        <v>2</v>
      </c>
      <c r="F238" s="26">
        <v>0</v>
      </c>
      <c r="G238" s="21">
        <v>24.082000000000001</v>
      </c>
      <c r="H238" s="22">
        <v>13.592000000000001</v>
      </c>
      <c r="I238" s="23">
        <v>24.4255</v>
      </c>
      <c r="J238" s="24">
        <f t="shared" si="7"/>
        <v>2.2229196473900403</v>
      </c>
      <c r="K238" s="24">
        <f t="shared" si="6"/>
        <v>7.6093247136309161</v>
      </c>
      <c r="L238" s="56">
        <v>4.47</v>
      </c>
      <c r="M238" s="56">
        <v>5.36</v>
      </c>
      <c r="N238" s="1">
        <v>3.6</v>
      </c>
      <c r="O238" s="28">
        <v>2.3180000000000001</v>
      </c>
      <c r="P238" s="60">
        <v>13.8</v>
      </c>
      <c r="Q238" s="1">
        <v>74</v>
      </c>
      <c r="R238" s="60">
        <v>1.2</v>
      </c>
      <c r="S238" s="1">
        <v>84</v>
      </c>
      <c r="T238" s="1">
        <v>52</v>
      </c>
      <c r="U238" s="1">
        <v>35</v>
      </c>
      <c r="V238" s="36">
        <v>5.2</v>
      </c>
    </row>
    <row r="239" spans="1:22" x14ac:dyDescent="0.2">
      <c r="A239" s="1">
        <v>24</v>
      </c>
      <c r="B239" s="1" t="s">
        <v>82</v>
      </c>
      <c r="C239" s="28">
        <v>2.4060000000000001</v>
      </c>
      <c r="D239" s="1">
        <v>19</v>
      </c>
      <c r="E239" s="1">
        <v>2</v>
      </c>
      <c r="F239" s="1">
        <v>1</v>
      </c>
      <c r="G239" s="11">
        <v>2.641</v>
      </c>
      <c r="H239" s="12">
        <v>1.4715</v>
      </c>
      <c r="I239" s="13">
        <v>2.66</v>
      </c>
      <c r="J239" s="18">
        <f t="shared" si="7"/>
        <v>2.2221287336979385</v>
      </c>
      <c r="K239" s="18">
        <f t="shared" si="6"/>
        <v>7.6421972694123657</v>
      </c>
      <c r="L239" s="56">
        <v>4.47</v>
      </c>
      <c r="M239" s="56">
        <v>5.36</v>
      </c>
      <c r="N239" s="1">
        <v>3.6</v>
      </c>
      <c r="O239" s="28">
        <v>2.3180000000000001</v>
      </c>
      <c r="P239" s="60">
        <v>13.8</v>
      </c>
      <c r="Q239" s="1">
        <v>74</v>
      </c>
      <c r="R239" s="60">
        <v>1.2</v>
      </c>
      <c r="S239" s="1">
        <v>84</v>
      </c>
      <c r="T239" s="1">
        <v>52</v>
      </c>
      <c r="U239" s="1">
        <v>35</v>
      </c>
      <c r="V239" s="36">
        <v>5.2</v>
      </c>
    </row>
    <row r="240" spans="1:22" x14ac:dyDescent="0.2">
      <c r="A240" s="1">
        <v>24</v>
      </c>
      <c r="B240" s="1" t="s">
        <v>82</v>
      </c>
      <c r="C240" s="28">
        <v>2.4060000000000001</v>
      </c>
      <c r="D240" s="1">
        <v>19</v>
      </c>
      <c r="E240" s="1">
        <v>2</v>
      </c>
      <c r="F240" s="1">
        <v>2</v>
      </c>
      <c r="G240" s="11">
        <v>2.6480000000000001</v>
      </c>
      <c r="H240" s="12">
        <v>1.4775</v>
      </c>
      <c r="I240" s="13">
        <v>2.6619999999999999</v>
      </c>
      <c r="J240" s="18">
        <f t="shared" si="7"/>
        <v>2.2355424229632761</v>
      </c>
      <c r="K240" s="18">
        <f t="shared" si="6"/>
        <v>7.0846873248846194</v>
      </c>
      <c r="L240" s="56">
        <v>4.47</v>
      </c>
      <c r="M240" s="56">
        <v>5.36</v>
      </c>
      <c r="N240" s="1">
        <v>3.6</v>
      </c>
      <c r="O240" s="28">
        <v>2.3180000000000001</v>
      </c>
      <c r="P240" s="60">
        <v>13.8</v>
      </c>
      <c r="Q240" s="1">
        <v>74</v>
      </c>
      <c r="R240" s="60">
        <v>1.2</v>
      </c>
      <c r="S240" s="1">
        <v>84</v>
      </c>
      <c r="T240" s="1">
        <v>52</v>
      </c>
      <c r="U240" s="1">
        <v>35</v>
      </c>
      <c r="V240" s="36">
        <v>5.2</v>
      </c>
    </row>
    <row r="241" spans="1:22" x14ac:dyDescent="0.2">
      <c r="A241" s="1">
        <v>24</v>
      </c>
      <c r="B241" s="1" t="s">
        <v>82</v>
      </c>
      <c r="C241" s="28">
        <v>2.4060000000000001</v>
      </c>
      <c r="D241" s="1">
        <v>19</v>
      </c>
      <c r="E241" s="1">
        <v>2</v>
      </c>
      <c r="F241" s="1">
        <v>3</v>
      </c>
      <c r="G241" s="11">
        <v>2.5495000000000001</v>
      </c>
      <c r="H241" s="12">
        <v>1.4145000000000001</v>
      </c>
      <c r="I241" s="13">
        <v>2.5630000000000002</v>
      </c>
      <c r="J241" s="18">
        <f t="shared" si="7"/>
        <v>2.21985198084458</v>
      </c>
      <c r="K241" s="18">
        <f t="shared" si="6"/>
        <v>7.7368254013059019</v>
      </c>
      <c r="L241" s="56">
        <v>4.47</v>
      </c>
      <c r="M241" s="56">
        <v>5.36</v>
      </c>
      <c r="N241" s="1">
        <v>3.6</v>
      </c>
      <c r="O241" s="28">
        <v>2.3180000000000001</v>
      </c>
      <c r="P241" s="60">
        <v>13.8</v>
      </c>
      <c r="Q241" s="1">
        <v>74</v>
      </c>
      <c r="R241" s="60">
        <v>1.2</v>
      </c>
      <c r="S241" s="1">
        <v>84</v>
      </c>
      <c r="T241" s="1">
        <v>52</v>
      </c>
      <c r="U241" s="1">
        <v>35</v>
      </c>
      <c r="V241" s="36">
        <v>5.2</v>
      </c>
    </row>
    <row r="242" spans="1:22" ht="16" thickBot="1" x14ac:dyDescent="0.25">
      <c r="A242" s="2">
        <v>24</v>
      </c>
      <c r="B242" s="2" t="s">
        <v>82</v>
      </c>
      <c r="C242" s="29">
        <v>2.4060000000000001</v>
      </c>
      <c r="D242" s="2">
        <v>19</v>
      </c>
      <c r="E242" s="2">
        <v>2</v>
      </c>
      <c r="F242" s="2">
        <v>4</v>
      </c>
      <c r="G242" s="16">
        <v>2.5785</v>
      </c>
      <c r="H242" s="10">
        <v>1.4330000000000001</v>
      </c>
      <c r="I242" s="17">
        <v>2.5960000000000001</v>
      </c>
      <c r="J242" s="20">
        <f t="shared" si="7"/>
        <v>2.2171109200343939</v>
      </c>
      <c r="K242" s="20">
        <f t="shared" si="6"/>
        <v>7.8507514532670903</v>
      </c>
      <c r="L242" s="57">
        <v>4.47</v>
      </c>
      <c r="M242" s="57">
        <v>5.36</v>
      </c>
      <c r="N242" s="2">
        <v>3.6</v>
      </c>
      <c r="O242" s="29">
        <v>2.3180000000000001</v>
      </c>
      <c r="P242" s="61">
        <v>13.8</v>
      </c>
      <c r="Q242" s="2">
        <v>74</v>
      </c>
      <c r="R242" s="61">
        <v>1.2</v>
      </c>
      <c r="S242" s="2">
        <v>84</v>
      </c>
      <c r="T242" s="2">
        <v>52</v>
      </c>
      <c r="U242" s="2">
        <v>35</v>
      </c>
      <c r="V242" s="4">
        <v>5.2</v>
      </c>
    </row>
  </sheetData>
  <mergeCells count="2">
    <mergeCell ref="A1:K1"/>
    <mergeCell ref="L1:V1"/>
  </mergeCells>
  <conditionalFormatting sqref="K3:K242">
    <cfRule type="cellIs" dxfId="3" priority="1" operator="between">
      <formula>8</formula>
      <formula>99</formula>
    </cfRule>
    <cfRule type="cellIs" dxfId="2" priority="2" operator="lessThan">
      <formula>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6407-6D50-414E-9F35-F631B922309B}">
  <dimension ref="A1:AE242"/>
  <sheetViews>
    <sheetView workbookViewId="0">
      <selection activeCell="X19" sqref="X19"/>
    </sheetView>
  </sheetViews>
  <sheetFormatPr baseColWidth="10" defaultRowHeight="15" x14ac:dyDescent="0.2"/>
  <sheetData>
    <row r="1" spans="1:31" ht="16" x14ac:dyDescent="0.2">
      <c r="A1" s="93" t="s">
        <v>85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5" t="s">
        <v>14</v>
      </c>
      <c r="M1" s="96"/>
      <c r="N1" s="96"/>
      <c r="O1" s="96"/>
      <c r="P1" s="96"/>
      <c r="Q1" s="96"/>
      <c r="R1" s="96"/>
      <c r="S1" s="96"/>
      <c r="T1" s="97"/>
      <c r="U1" s="91" t="s">
        <v>25</v>
      </c>
      <c r="V1" s="91"/>
      <c r="W1" s="91"/>
      <c r="X1" s="91"/>
      <c r="Y1" s="91"/>
      <c r="Z1" s="91"/>
      <c r="AA1" s="91"/>
      <c r="AB1" s="91"/>
      <c r="AC1" s="91"/>
      <c r="AD1" s="91"/>
      <c r="AE1" s="92"/>
    </row>
    <row r="2" spans="1:31" ht="18" thickBot="1" x14ac:dyDescent="0.25">
      <c r="A2" s="3" t="s">
        <v>33</v>
      </c>
      <c r="B2" s="3" t="s">
        <v>34</v>
      </c>
      <c r="C2" s="77" t="s">
        <v>20</v>
      </c>
      <c r="D2" s="3" t="s">
        <v>7</v>
      </c>
      <c r="E2" s="3" t="s">
        <v>5</v>
      </c>
      <c r="F2" s="3" t="s">
        <v>6</v>
      </c>
      <c r="G2" s="3" t="s">
        <v>0</v>
      </c>
      <c r="H2" s="3" t="s">
        <v>2</v>
      </c>
      <c r="I2" s="3" t="s">
        <v>3</v>
      </c>
      <c r="J2" s="3" t="s">
        <v>19</v>
      </c>
      <c r="K2" s="37" t="s">
        <v>86</v>
      </c>
      <c r="L2" s="3" t="s">
        <v>10</v>
      </c>
      <c r="M2" s="3" t="s">
        <v>9</v>
      </c>
      <c r="N2" s="3" t="s">
        <v>11</v>
      </c>
      <c r="O2" s="3" t="s">
        <v>13</v>
      </c>
      <c r="P2" s="78" t="s">
        <v>15</v>
      </c>
      <c r="Q2" s="3" t="s">
        <v>31</v>
      </c>
      <c r="R2" s="3" t="s">
        <v>32</v>
      </c>
      <c r="S2" s="80" t="s">
        <v>16</v>
      </c>
      <c r="T2" s="79" t="s">
        <v>12</v>
      </c>
      <c r="U2" s="81" t="s">
        <v>17</v>
      </c>
      <c r="V2" s="77" t="s">
        <v>18</v>
      </c>
      <c r="W2" s="77" t="s">
        <v>28</v>
      </c>
      <c r="X2" s="77" t="s">
        <v>1</v>
      </c>
      <c r="Y2" s="77" t="s">
        <v>29</v>
      </c>
      <c r="Z2" s="77" t="s">
        <v>30</v>
      </c>
      <c r="AA2" s="77" t="s">
        <v>21</v>
      </c>
      <c r="AB2" s="77" t="s">
        <v>27</v>
      </c>
      <c r="AC2" s="77" t="s">
        <v>22</v>
      </c>
      <c r="AD2" s="77" t="s">
        <v>23</v>
      </c>
      <c r="AE2" s="77" t="s">
        <v>24</v>
      </c>
    </row>
    <row r="3" spans="1:31" x14ac:dyDescent="0.2">
      <c r="A3" s="1">
        <v>1</v>
      </c>
      <c r="B3" s="1" t="s">
        <v>35</v>
      </c>
      <c r="C3" s="28">
        <v>2.3820000000000001</v>
      </c>
      <c r="D3" s="1">
        <v>12.5</v>
      </c>
      <c r="E3" s="26">
        <v>1</v>
      </c>
      <c r="F3" s="26">
        <v>0</v>
      </c>
      <c r="G3" s="21">
        <v>24.161999999999999</v>
      </c>
      <c r="H3" s="22">
        <v>13.37</v>
      </c>
      <c r="I3" s="23">
        <v>24.534500000000001</v>
      </c>
      <c r="J3" s="24">
        <f>+IF(G3=0,"",G3/(I3-H3))</f>
        <v>2.1641811097675663</v>
      </c>
      <c r="K3" s="24">
        <f t="shared" ref="K3:K66" si="0">+IF(G3=0,"",(1-(J3/C3))*100)</f>
        <v>9.1443698670207301</v>
      </c>
      <c r="L3" s="33">
        <v>0</v>
      </c>
      <c r="M3" s="1"/>
      <c r="N3" s="38"/>
      <c r="O3" s="44"/>
      <c r="P3" s="44"/>
      <c r="Q3" s="65"/>
      <c r="R3" s="69"/>
      <c r="S3" s="74"/>
      <c r="T3" s="49"/>
      <c r="U3" s="56">
        <v>4.8899999999999997</v>
      </c>
      <c r="V3" s="56">
        <v>5.6</v>
      </c>
      <c r="W3" s="1">
        <v>4.7</v>
      </c>
      <c r="X3" s="28">
        <v>2.2709999999999999</v>
      </c>
      <c r="Y3" s="60">
        <v>15.5</v>
      </c>
      <c r="Z3" s="1">
        <v>70</v>
      </c>
      <c r="AA3" s="60">
        <v>1.2</v>
      </c>
      <c r="AB3" s="1">
        <v>90</v>
      </c>
      <c r="AC3" s="1">
        <v>56</v>
      </c>
      <c r="AD3" s="1">
        <v>39</v>
      </c>
      <c r="AE3" s="36">
        <v>6</v>
      </c>
    </row>
    <row r="4" spans="1:31" x14ac:dyDescent="0.2">
      <c r="A4" s="1">
        <v>1</v>
      </c>
      <c r="B4" s="1" t="s">
        <v>35</v>
      </c>
      <c r="C4" s="28">
        <v>2.3820000000000001</v>
      </c>
      <c r="D4" s="1">
        <v>12.5</v>
      </c>
      <c r="E4" s="1">
        <v>1</v>
      </c>
      <c r="F4" s="1">
        <v>1</v>
      </c>
      <c r="G4" s="11">
        <v>2.6680000000000001</v>
      </c>
      <c r="H4" s="12">
        <v>1.4635</v>
      </c>
      <c r="I4" s="13">
        <v>2.6890000000000001</v>
      </c>
      <c r="J4" s="18">
        <f>+IF(G4=0,"",G4/(I4-H4))</f>
        <v>2.1770705834353326</v>
      </c>
      <c r="K4" s="18">
        <f t="shared" si="0"/>
        <v>8.6032500656871402</v>
      </c>
      <c r="L4" s="33">
        <v>600</v>
      </c>
      <c r="M4" s="1">
        <v>1</v>
      </c>
      <c r="N4" s="38">
        <v>45434</v>
      </c>
      <c r="O4" s="44">
        <v>2647</v>
      </c>
      <c r="P4" s="44">
        <v>4397</v>
      </c>
      <c r="Q4" s="65">
        <v>1.5309999999999999</v>
      </c>
      <c r="R4" s="69">
        <v>1335.7</v>
      </c>
      <c r="S4" s="74">
        <v>1319</v>
      </c>
      <c r="T4" s="49">
        <v>70000</v>
      </c>
      <c r="U4" s="56">
        <v>4.8899999999999997</v>
      </c>
      <c r="V4" s="56">
        <v>5.6</v>
      </c>
      <c r="W4" s="1">
        <v>4.7</v>
      </c>
      <c r="X4" s="28">
        <v>2.2709999999999999</v>
      </c>
      <c r="Y4" s="60">
        <v>15.5</v>
      </c>
      <c r="Z4" s="1">
        <v>70</v>
      </c>
      <c r="AA4" s="60">
        <v>1.2</v>
      </c>
      <c r="AB4" s="1">
        <v>90</v>
      </c>
      <c r="AC4" s="1">
        <v>56</v>
      </c>
      <c r="AD4" s="1">
        <v>39</v>
      </c>
      <c r="AE4" s="36">
        <v>6</v>
      </c>
    </row>
    <row r="5" spans="1:31" x14ac:dyDescent="0.2">
      <c r="A5" s="1">
        <v>1</v>
      </c>
      <c r="B5" s="1" t="s">
        <v>35</v>
      </c>
      <c r="C5" s="28">
        <v>2.3820000000000001</v>
      </c>
      <c r="D5" s="1">
        <v>12.5</v>
      </c>
      <c r="E5" s="1">
        <v>1</v>
      </c>
      <c r="F5" s="1">
        <v>2</v>
      </c>
      <c r="G5" s="11">
        <v>2.7705000000000002</v>
      </c>
      <c r="H5" s="12">
        <v>1.5435000000000001</v>
      </c>
      <c r="I5" s="13">
        <v>2.8050000000000002</v>
      </c>
      <c r="J5" s="18">
        <f t="shared" ref="J5:J68" si="1">+IF(G5=0,"",G5/(I5-H5))</f>
        <v>2.1961950059453033</v>
      </c>
      <c r="K5" s="18">
        <f t="shared" si="0"/>
        <v>7.8003775841602341</v>
      </c>
      <c r="L5" s="33">
        <v>600</v>
      </c>
      <c r="M5" s="1">
        <v>2</v>
      </c>
      <c r="N5" s="38">
        <v>45434</v>
      </c>
      <c r="O5" s="44">
        <v>2935</v>
      </c>
      <c r="P5" s="44">
        <v>4887</v>
      </c>
      <c r="Q5" s="65">
        <v>1.5669999999999999</v>
      </c>
      <c r="R5" s="69">
        <v>1500.9</v>
      </c>
      <c r="S5" s="74">
        <v>1464</v>
      </c>
      <c r="T5" s="49">
        <v>23620</v>
      </c>
      <c r="U5" s="56">
        <v>4.8899999999999997</v>
      </c>
      <c r="V5" s="56">
        <v>5.6</v>
      </c>
      <c r="W5" s="1">
        <v>4.7</v>
      </c>
      <c r="X5" s="28">
        <v>2.2709999999999999</v>
      </c>
      <c r="Y5" s="60">
        <v>15.5</v>
      </c>
      <c r="Z5" s="1">
        <v>70</v>
      </c>
      <c r="AA5" s="60">
        <v>1.2</v>
      </c>
      <c r="AB5" s="1">
        <v>90</v>
      </c>
      <c r="AC5" s="1">
        <v>56</v>
      </c>
      <c r="AD5" s="1">
        <v>39</v>
      </c>
      <c r="AE5" s="36">
        <v>6</v>
      </c>
    </row>
    <row r="6" spans="1:31" x14ac:dyDescent="0.2">
      <c r="A6" s="1">
        <v>1</v>
      </c>
      <c r="B6" s="1" t="s">
        <v>35</v>
      </c>
      <c r="C6" s="28">
        <v>2.3820000000000001</v>
      </c>
      <c r="D6" s="1">
        <v>12.5</v>
      </c>
      <c r="E6" s="1">
        <v>1</v>
      </c>
      <c r="F6" s="1">
        <v>3</v>
      </c>
      <c r="G6" s="11">
        <v>2.6949999999999998</v>
      </c>
      <c r="H6" s="12">
        <v>1.4744999999999999</v>
      </c>
      <c r="I6" s="13">
        <v>2.7189999999999999</v>
      </c>
      <c r="J6" s="18">
        <f t="shared" si="1"/>
        <v>2.1655283246283648</v>
      </c>
      <c r="K6" s="18">
        <f t="shared" si="0"/>
        <v>9.0878117284481696</v>
      </c>
      <c r="L6" s="33">
        <v>600</v>
      </c>
      <c r="M6" s="1">
        <v>3</v>
      </c>
      <c r="N6" s="38">
        <v>45434</v>
      </c>
      <c r="O6" s="44">
        <v>2963</v>
      </c>
      <c r="P6" s="44">
        <v>4926</v>
      </c>
      <c r="Q6" s="65">
        <v>1.494</v>
      </c>
      <c r="R6" s="69">
        <v>1478.8</v>
      </c>
      <c r="S6" s="74">
        <v>1477</v>
      </c>
      <c r="T6" s="49">
        <v>97500</v>
      </c>
      <c r="U6" s="56">
        <v>4.8899999999999997</v>
      </c>
      <c r="V6" s="56">
        <v>5.6</v>
      </c>
      <c r="W6" s="1">
        <v>4.7</v>
      </c>
      <c r="X6" s="28">
        <v>2.2709999999999999</v>
      </c>
      <c r="Y6" s="60">
        <v>15.5</v>
      </c>
      <c r="Z6" s="1">
        <v>70</v>
      </c>
      <c r="AA6" s="60">
        <v>1.2</v>
      </c>
      <c r="AB6" s="1">
        <v>90</v>
      </c>
      <c r="AC6" s="1">
        <v>56</v>
      </c>
      <c r="AD6" s="1">
        <v>39</v>
      </c>
      <c r="AE6" s="36">
        <v>6</v>
      </c>
    </row>
    <row r="7" spans="1:31" x14ac:dyDescent="0.2">
      <c r="A7" s="1">
        <v>1</v>
      </c>
      <c r="B7" s="1" t="s">
        <v>35</v>
      </c>
      <c r="C7" s="28">
        <v>2.3820000000000001</v>
      </c>
      <c r="D7" s="1">
        <v>12.5</v>
      </c>
      <c r="E7" s="5">
        <v>1</v>
      </c>
      <c r="F7" s="5">
        <v>4</v>
      </c>
      <c r="G7" s="14">
        <v>2.7149999999999999</v>
      </c>
      <c r="H7" s="9">
        <v>1.5049999999999999</v>
      </c>
      <c r="I7" s="15">
        <v>2.7494999999999998</v>
      </c>
      <c r="J7" s="19">
        <f t="shared" si="1"/>
        <v>2.1815990357573321</v>
      </c>
      <c r="K7" s="19">
        <f t="shared" si="0"/>
        <v>8.4131387171565102</v>
      </c>
      <c r="L7" s="41">
        <v>600</v>
      </c>
      <c r="M7" s="5">
        <v>4</v>
      </c>
      <c r="N7" s="42">
        <v>45434</v>
      </c>
      <c r="O7" s="47">
        <v>3110</v>
      </c>
      <c r="P7" s="47">
        <v>5178</v>
      </c>
      <c r="Q7" s="67">
        <v>1.5529999999999999</v>
      </c>
      <c r="R7" s="71">
        <v>1552.7</v>
      </c>
      <c r="S7" s="75">
        <v>1552</v>
      </c>
      <c r="T7" s="51">
        <v>158670</v>
      </c>
      <c r="U7" s="58">
        <v>4.8899999999999997</v>
      </c>
      <c r="V7" s="58">
        <v>5.6</v>
      </c>
      <c r="W7" s="5">
        <v>4.7</v>
      </c>
      <c r="X7" s="53">
        <v>2.2709999999999999</v>
      </c>
      <c r="Y7" s="62">
        <v>15.5</v>
      </c>
      <c r="Z7" s="5">
        <v>70</v>
      </c>
      <c r="AA7" s="62">
        <v>1.2</v>
      </c>
      <c r="AB7" s="5">
        <v>90</v>
      </c>
      <c r="AC7" s="5">
        <v>56</v>
      </c>
      <c r="AD7" s="5">
        <v>39</v>
      </c>
      <c r="AE7" s="43">
        <v>6</v>
      </c>
    </row>
    <row r="8" spans="1:31" x14ac:dyDescent="0.2">
      <c r="A8" s="1">
        <v>1</v>
      </c>
      <c r="B8" s="1" t="s">
        <v>36</v>
      </c>
      <c r="C8" s="28">
        <v>2.3820000000000001</v>
      </c>
      <c r="D8" s="1">
        <v>12.5</v>
      </c>
      <c r="E8" s="26">
        <v>2</v>
      </c>
      <c r="F8" s="26">
        <v>0</v>
      </c>
      <c r="G8" s="21">
        <v>24.103000000000002</v>
      </c>
      <c r="H8" s="22">
        <v>13.3515</v>
      </c>
      <c r="I8" s="23">
        <v>24.518999999999998</v>
      </c>
      <c r="J8" s="24">
        <f t="shared" si="1"/>
        <v>2.158316543541527</v>
      </c>
      <c r="K8" s="24">
        <f t="shared" si="0"/>
        <v>9.3905733189955107</v>
      </c>
      <c r="L8" s="33">
        <v>0</v>
      </c>
      <c r="M8" s="1"/>
      <c r="N8" s="38"/>
      <c r="O8" s="44"/>
      <c r="P8" s="44"/>
      <c r="Q8" s="65"/>
      <c r="R8" s="69"/>
      <c r="S8" s="74"/>
      <c r="T8" s="49"/>
      <c r="U8" s="56">
        <v>4.8899999999999997</v>
      </c>
      <c r="V8" s="56">
        <v>5.6</v>
      </c>
      <c r="W8" s="1">
        <v>4.7</v>
      </c>
      <c r="X8" s="28">
        <v>2.2709999999999999</v>
      </c>
      <c r="Y8" s="60">
        <v>15.5</v>
      </c>
      <c r="Z8" s="1">
        <v>70</v>
      </c>
      <c r="AA8" s="60">
        <v>1.2</v>
      </c>
      <c r="AB8" s="1">
        <v>90</v>
      </c>
      <c r="AC8" s="1">
        <v>56</v>
      </c>
      <c r="AD8" s="1">
        <v>39</v>
      </c>
      <c r="AE8" s="36">
        <v>6</v>
      </c>
    </row>
    <row r="9" spans="1:31" x14ac:dyDescent="0.2">
      <c r="A9" s="1">
        <v>1</v>
      </c>
      <c r="B9" s="1" t="s">
        <v>36</v>
      </c>
      <c r="C9" s="28">
        <v>2.3820000000000001</v>
      </c>
      <c r="D9" s="1">
        <v>12.5</v>
      </c>
      <c r="E9" s="1">
        <v>2</v>
      </c>
      <c r="F9" s="1">
        <v>1</v>
      </c>
      <c r="G9" s="11">
        <v>2.597</v>
      </c>
      <c r="H9" s="12">
        <v>1.4219999999999999</v>
      </c>
      <c r="I9" s="13">
        <v>2.6154999999999999</v>
      </c>
      <c r="J9" s="18">
        <f t="shared" si="1"/>
        <v>2.1759530791788855</v>
      </c>
      <c r="K9" s="18">
        <f t="shared" si="0"/>
        <v>8.6501646020619045</v>
      </c>
      <c r="L9" s="33">
        <v>400</v>
      </c>
      <c r="M9" s="1">
        <v>1</v>
      </c>
      <c r="N9" s="38">
        <v>45435</v>
      </c>
      <c r="O9" s="44">
        <v>2222</v>
      </c>
      <c r="P9" s="44">
        <v>5581</v>
      </c>
      <c r="Q9" s="65">
        <v>0.67</v>
      </c>
      <c r="R9" s="69">
        <v>1067.5999999999999</v>
      </c>
      <c r="S9" s="74">
        <v>1832</v>
      </c>
      <c r="T9" s="49">
        <v>850000</v>
      </c>
      <c r="U9" s="56">
        <v>4.8899999999999997</v>
      </c>
      <c r="V9" s="56">
        <v>5.6</v>
      </c>
      <c r="W9" s="1">
        <v>4.7</v>
      </c>
      <c r="X9" s="28">
        <v>2.2709999999999999</v>
      </c>
      <c r="Y9" s="60">
        <v>15.5</v>
      </c>
      <c r="Z9" s="1">
        <v>70</v>
      </c>
      <c r="AA9" s="60">
        <v>1.2</v>
      </c>
      <c r="AB9" s="1">
        <v>90</v>
      </c>
      <c r="AC9" s="1">
        <v>56</v>
      </c>
      <c r="AD9" s="1">
        <v>39</v>
      </c>
      <c r="AE9" s="36">
        <v>6</v>
      </c>
    </row>
    <row r="10" spans="1:31" x14ac:dyDescent="0.2">
      <c r="A10" s="1">
        <v>1</v>
      </c>
      <c r="B10" s="1" t="s">
        <v>36</v>
      </c>
      <c r="C10" s="28">
        <v>2.3820000000000001</v>
      </c>
      <c r="D10" s="1">
        <v>12.5</v>
      </c>
      <c r="E10" s="1">
        <v>2</v>
      </c>
      <c r="F10" s="1">
        <v>2</v>
      </c>
      <c r="G10" s="11">
        <v>2.5665</v>
      </c>
      <c r="H10" s="12">
        <v>1.4245000000000001</v>
      </c>
      <c r="I10" s="13">
        <v>2.6</v>
      </c>
      <c r="J10" s="18">
        <f t="shared" si="1"/>
        <v>2.183326244151425</v>
      </c>
      <c r="K10" s="18">
        <f t="shared" si="0"/>
        <v>8.3406278693776255</v>
      </c>
      <c r="L10" s="33">
        <v>400</v>
      </c>
      <c r="M10" s="1">
        <v>2</v>
      </c>
      <c r="N10" s="38">
        <v>45436</v>
      </c>
      <c r="O10" s="44">
        <v>2251</v>
      </c>
      <c r="P10" s="44">
        <v>5623</v>
      </c>
      <c r="Q10" s="65">
        <v>0.61299999999999999</v>
      </c>
      <c r="R10" s="69">
        <v>1079.5999999999999</v>
      </c>
      <c r="S10" s="74">
        <v>1686</v>
      </c>
      <c r="T10" s="49">
        <f>212500+12500/3</f>
        <v>216666.66666666666</v>
      </c>
      <c r="U10" s="56">
        <v>4.8899999999999997</v>
      </c>
      <c r="V10" s="56">
        <v>5.6</v>
      </c>
      <c r="W10" s="1">
        <v>4.7</v>
      </c>
      <c r="X10" s="28">
        <v>2.2709999999999999</v>
      </c>
      <c r="Y10" s="60">
        <v>15.5</v>
      </c>
      <c r="Z10" s="1">
        <v>70</v>
      </c>
      <c r="AA10" s="60">
        <v>1.2</v>
      </c>
      <c r="AB10" s="1">
        <v>90</v>
      </c>
      <c r="AC10" s="1">
        <v>56</v>
      </c>
      <c r="AD10" s="1">
        <v>39</v>
      </c>
      <c r="AE10" s="36">
        <v>6</v>
      </c>
    </row>
    <row r="11" spans="1:31" x14ac:dyDescent="0.2">
      <c r="A11" s="1">
        <v>1</v>
      </c>
      <c r="B11" s="1" t="s">
        <v>36</v>
      </c>
      <c r="C11" s="28">
        <v>2.3820000000000001</v>
      </c>
      <c r="D11" s="1">
        <v>12.5</v>
      </c>
      <c r="E11" s="1">
        <v>2</v>
      </c>
      <c r="F11" s="1">
        <v>3</v>
      </c>
      <c r="G11" s="11">
        <v>2.5870000000000002</v>
      </c>
      <c r="H11" s="12">
        <v>1.417</v>
      </c>
      <c r="I11" s="13">
        <v>2.609</v>
      </c>
      <c r="J11" s="18">
        <f t="shared" si="1"/>
        <v>2.1703020134228193</v>
      </c>
      <c r="K11" s="18">
        <f t="shared" si="0"/>
        <v>8.8874049780512507</v>
      </c>
      <c r="L11" s="33">
        <v>400</v>
      </c>
      <c r="M11" s="1">
        <v>3</v>
      </c>
      <c r="N11" s="38">
        <v>45437</v>
      </c>
      <c r="O11" s="44">
        <v>2028</v>
      </c>
      <c r="P11" s="44">
        <v>5067</v>
      </c>
      <c r="Q11" s="65">
        <v>0.59</v>
      </c>
      <c r="R11" s="69">
        <v>998.5</v>
      </c>
      <c r="S11" s="74">
        <v>1519</v>
      </c>
      <c r="T11" s="49">
        <v>725000</v>
      </c>
      <c r="U11" s="56">
        <v>4.8899999999999997</v>
      </c>
      <c r="V11" s="56">
        <v>5.6</v>
      </c>
      <c r="W11" s="1">
        <v>4.7</v>
      </c>
      <c r="X11" s="28">
        <v>2.2709999999999999</v>
      </c>
      <c r="Y11" s="60">
        <v>15.5</v>
      </c>
      <c r="Z11" s="1">
        <v>70</v>
      </c>
      <c r="AA11" s="60">
        <v>1.2</v>
      </c>
      <c r="AB11" s="1">
        <v>90</v>
      </c>
      <c r="AC11" s="1">
        <v>56</v>
      </c>
      <c r="AD11" s="1">
        <v>39</v>
      </c>
      <c r="AE11" s="36">
        <v>6</v>
      </c>
    </row>
    <row r="12" spans="1:31" ht="16" thickBot="1" x14ac:dyDescent="0.25">
      <c r="A12" s="1">
        <v>1</v>
      </c>
      <c r="B12" s="1" t="s">
        <v>36</v>
      </c>
      <c r="C12" s="29">
        <v>2.3820000000000001</v>
      </c>
      <c r="D12" s="2">
        <v>12.5</v>
      </c>
      <c r="E12" s="2">
        <v>2</v>
      </c>
      <c r="F12" s="2">
        <v>4</v>
      </c>
      <c r="G12" s="16">
        <v>2.6349999999999998</v>
      </c>
      <c r="H12" s="10">
        <v>1.468</v>
      </c>
      <c r="I12" s="17">
        <v>2.6795</v>
      </c>
      <c r="J12" s="20">
        <f t="shared" si="1"/>
        <v>2.1749896822121335</v>
      </c>
      <c r="K12" s="20">
        <f t="shared" si="0"/>
        <v>8.6906094789196757</v>
      </c>
      <c r="L12" s="34">
        <v>400</v>
      </c>
      <c r="M12" s="2">
        <v>4</v>
      </c>
      <c r="N12" s="39">
        <v>45438</v>
      </c>
      <c r="O12" s="46">
        <v>2418</v>
      </c>
      <c r="P12" s="46">
        <v>6042</v>
      </c>
      <c r="Q12" s="66">
        <v>0.64800000000000002</v>
      </c>
      <c r="R12" s="70">
        <v>1178</v>
      </c>
      <c r="S12" s="76">
        <v>1808</v>
      </c>
      <c r="T12" s="50">
        <v>550000</v>
      </c>
      <c r="U12" s="57">
        <v>4.8899999999999997</v>
      </c>
      <c r="V12" s="57">
        <v>5.6</v>
      </c>
      <c r="W12" s="2">
        <v>4.7</v>
      </c>
      <c r="X12" s="29">
        <v>2.2709999999999999</v>
      </c>
      <c r="Y12" s="61">
        <v>15.5</v>
      </c>
      <c r="Z12" s="2">
        <v>70</v>
      </c>
      <c r="AA12" s="61">
        <v>1.2</v>
      </c>
      <c r="AB12" s="2">
        <v>90</v>
      </c>
      <c r="AC12" s="2">
        <v>56</v>
      </c>
      <c r="AD12" s="2">
        <v>39</v>
      </c>
      <c r="AE12" s="4">
        <v>6</v>
      </c>
    </row>
    <row r="13" spans="1:31" x14ac:dyDescent="0.2">
      <c r="A13" s="1">
        <v>2</v>
      </c>
      <c r="B13" s="1" t="s">
        <v>37</v>
      </c>
      <c r="C13" s="28">
        <v>2.3969999999999998</v>
      </c>
      <c r="D13" s="1">
        <v>19</v>
      </c>
      <c r="E13" s="26">
        <v>1</v>
      </c>
      <c r="F13" s="26">
        <v>0</v>
      </c>
      <c r="G13" s="21">
        <v>22.401</v>
      </c>
      <c r="H13" s="22">
        <v>12.295</v>
      </c>
      <c r="I13" s="23">
        <v>22.889500000000002</v>
      </c>
      <c r="J13" s="24">
        <f t="shared" si="1"/>
        <v>2.1143989806031427</v>
      </c>
      <c r="K13" s="24">
        <f t="shared" si="0"/>
        <v>11.789779699493419</v>
      </c>
      <c r="L13" s="33">
        <v>0</v>
      </c>
      <c r="M13" s="1"/>
      <c r="N13" s="38"/>
      <c r="O13" s="44"/>
      <c r="P13" s="44"/>
      <c r="Q13" s="65"/>
      <c r="R13" s="69"/>
      <c r="S13" s="74"/>
      <c r="T13" s="49"/>
      <c r="U13" s="56">
        <v>4.6399999999999997</v>
      </c>
      <c r="V13" s="56">
        <v>5.6</v>
      </c>
      <c r="W13" s="1">
        <v>4.9000000000000004</v>
      </c>
      <c r="X13" s="28">
        <v>2.2799999999999998</v>
      </c>
      <c r="Y13" s="60">
        <v>15.2</v>
      </c>
      <c r="Z13" s="1">
        <v>68</v>
      </c>
      <c r="AA13" s="60">
        <v>1.1000000000000001</v>
      </c>
      <c r="AB13" s="1">
        <v>87</v>
      </c>
      <c r="AC13" s="1">
        <v>53</v>
      </c>
      <c r="AD13" s="1">
        <v>37</v>
      </c>
      <c r="AE13" s="36">
        <v>5</v>
      </c>
    </row>
    <row r="14" spans="1:31" x14ac:dyDescent="0.2">
      <c r="A14" s="1">
        <v>2</v>
      </c>
      <c r="B14" s="1" t="s">
        <v>37</v>
      </c>
      <c r="C14" s="28">
        <v>2.3969999999999998</v>
      </c>
      <c r="D14" s="1">
        <v>19</v>
      </c>
      <c r="E14" s="1">
        <v>1</v>
      </c>
      <c r="F14" s="1">
        <v>1</v>
      </c>
      <c r="G14" s="11">
        <v>2.6175000000000002</v>
      </c>
      <c r="H14" s="12">
        <v>1.45</v>
      </c>
      <c r="I14" s="13">
        <v>2.6720000000000002</v>
      </c>
      <c r="J14" s="18">
        <f t="shared" si="1"/>
        <v>2.1419803600654661</v>
      </c>
      <c r="K14" s="18">
        <f t="shared" si="0"/>
        <v>10.639117227139494</v>
      </c>
      <c r="L14" s="33">
        <v>600</v>
      </c>
      <c r="M14" s="1">
        <v>1</v>
      </c>
      <c r="N14" s="38">
        <v>45429</v>
      </c>
      <c r="O14" s="44">
        <v>2325</v>
      </c>
      <c r="P14" s="44">
        <v>3863</v>
      </c>
      <c r="Q14" s="65">
        <v>1.3460000000000001</v>
      </c>
      <c r="R14" s="69">
        <v>1172.0999999999999</v>
      </c>
      <c r="S14" s="74">
        <v>1150</v>
      </c>
      <c r="T14" s="49">
        <v>85000</v>
      </c>
      <c r="U14" s="56">
        <v>4.6399999999999997</v>
      </c>
      <c r="V14" s="56">
        <v>5.6</v>
      </c>
      <c r="W14" s="1">
        <v>4.9000000000000004</v>
      </c>
      <c r="X14" s="28">
        <v>2.2799999999999998</v>
      </c>
      <c r="Y14" s="60">
        <v>15.2</v>
      </c>
      <c r="Z14" s="1">
        <v>68</v>
      </c>
      <c r="AA14" s="60">
        <v>1.1000000000000001</v>
      </c>
      <c r="AB14" s="1">
        <v>87</v>
      </c>
      <c r="AC14" s="1">
        <v>53</v>
      </c>
      <c r="AD14" s="1">
        <v>37</v>
      </c>
      <c r="AE14" s="36">
        <v>5</v>
      </c>
    </row>
    <row r="15" spans="1:31" x14ac:dyDescent="0.2">
      <c r="A15" s="1">
        <v>2</v>
      </c>
      <c r="B15" s="1" t="s">
        <v>37</v>
      </c>
      <c r="C15" s="28">
        <v>2.3969999999999998</v>
      </c>
      <c r="D15" s="1">
        <v>19</v>
      </c>
      <c r="E15" s="1">
        <v>1</v>
      </c>
      <c r="F15" s="1">
        <v>2</v>
      </c>
      <c r="G15" s="11">
        <v>2.5779999999999998</v>
      </c>
      <c r="H15" s="12">
        <v>1.42</v>
      </c>
      <c r="I15" s="13">
        <v>2.6459999999999999</v>
      </c>
      <c r="J15" s="18">
        <f t="shared" si="1"/>
        <v>2.102773246329527</v>
      </c>
      <c r="K15" s="18">
        <f t="shared" si="0"/>
        <v>12.274791559051845</v>
      </c>
      <c r="L15" s="33">
        <v>600</v>
      </c>
      <c r="M15" s="1">
        <v>2</v>
      </c>
      <c r="N15" s="38">
        <v>45429</v>
      </c>
      <c r="O15" s="44">
        <v>2202</v>
      </c>
      <c r="P15" s="44">
        <v>3664</v>
      </c>
      <c r="Q15" s="65">
        <v>1.157</v>
      </c>
      <c r="R15" s="69">
        <v>1112.5</v>
      </c>
      <c r="S15" s="74">
        <v>1099</v>
      </c>
      <c r="T15" s="49">
        <v>60260</v>
      </c>
      <c r="U15" s="56">
        <v>4.6399999999999997</v>
      </c>
      <c r="V15" s="56">
        <v>5.6</v>
      </c>
      <c r="W15" s="1">
        <v>4.9000000000000004</v>
      </c>
      <c r="X15" s="28">
        <v>2.2799999999999998</v>
      </c>
      <c r="Y15" s="60">
        <v>15.2</v>
      </c>
      <c r="Z15" s="1">
        <v>68</v>
      </c>
      <c r="AA15" s="60">
        <v>1.1000000000000001</v>
      </c>
      <c r="AB15" s="1">
        <v>87</v>
      </c>
      <c r="AC15" s="1">
        <v>53</v>
      </c>
      <c r="AD15" s="1">
        <v>37</v>
      </c>
      <c r="AE15" s="36">
        <v>5</v>
      </c>
    </row>
    <row r="16" spans="1:31" x14ac:dyDescent="0.2">
      <c r="A16" s="1">
        <v>2</v>
      </c>
      <c r="B16" s="1" t="s">
        <v>37</v>
      </c>
      <c r="C16" s="28">
        <v>2.3969999999999998</v>
      </c>
      <c r="D16" s="1">
        <v>19</v>
      </c>
      <c r="E16" s="1">
        <v>1</v>
      </c>
      <c r="F16" s="1">
        <v>3</v>
      </c>
      <c r="G16" s="11">
        <v>2.5390000000000001</v>
      </c>
      <c r="H16" s="12">
        <v>1.3794999999999999</v>
      </c>
      <c r="I16" s="13">
        <v>2.5819999999999999</v>
      </c>
      <c r="J16" s="18">
        <f t="shared" si="1"/>
        <v>2.1114345114345117</v>
      </c>
      <c r="K16" s="18">
        <f t="shared" si="0"/>
        <v>11.913453840863086</v>
      </c>
      <c r="L16" s="33">
        <v>600</v>
      </c>
      <c r="M16" s="1">
        <v>3</v>
      </c>
      <c r="N16" s="38">
        <v>45429</v>
      </c>
      <c r="O16" s="44">
        <v>1813</v>
      </c>
      <c r="P16" s="44">
        <v>3020</v>
      </c>
      <c r="Q16" s="65">
        <v>0.81499999999999995</v>
      </c>
      <c r="R16" s="69">
        <v>913.5</v>
      </c>
      <c r="S16" s="74">
        <v>906</v>
      </c>
      <c r="T16" s="49">
        <v>4625</v>
      </c>
      <c r="U16" s="56">
        <v>4.6399999999999997</v>
      </c>
      <c r="V16" s="56">
        <v>5.6</v>
      </c>
      <c r="W16" s="1">
        <v>4.9000000000000004</v>
      </c>
      <c r="X16" s="28">
        <v>2.2799999999999998</v>
      </c>
      <c r="Y16" s="60">
        <v>15.2</v>
      </c>
      <c r="Z16" s="1">
        <v>68</v>
      </c>
      <c r="AA16" s="60">
        <v>1.1000000000000001</v>
      </c>
      <c r="AB16" s="1">
        <v>87</v>
      </c>
      <c r="AC16" s="1">
        <v>53</v>
      </c>
      <c r="AD16" s="1">
        <v>37</v>
      </c>
      <c r="AE16" s="36">
        <v>5</v>
      </c>
    </row>
    <row r="17" spans="1:31" x14ac:dyDescent="0.2">
      <c r="A17" s="1">
        <v>2</v>
      </c>
      <c r="B17" s="1" t="s">
        <v>37</v>
      </c>
      <c r="C17" s="28">
        <v>2.3969999999999998</v>
      </c>
      <c r="D17" s="1">
        <v>19</v>
      </c>
      <c r="E17" s="5">
        <v>1</v>
      </c>
      <c r="F17" s="5">
        <v>4</v>
      </c>
      <c r="G17" s="14">
        <v>2.5270000000000001</v>
      </c>
      <c r="H17" s="9">
        <v>1.363</v>
      </c>
      <c r="I17" s="15">
        <v>2.5659999999999998</v>
      </c>
      <c r="J17" s="19">
        <f t="shared" si="1"/>
        <v>2.1005818786367421</v>
      </c>
      <c r="K17" s="19">
        <f t="shared" si="0"/>
        <v>12.366212822830946</v>
      </c>
      <c r="L17" s="41">
        <v>600</v>
      </c>
      <c r="M17" s="5">
        <v>4</v>
      </c>
      <c r="N17" s="42">
        <v>45429</v>
      </c>
      <c r="O17" s="47">
        <v>1888</v>
      </c>
      <c r="P17" s="47">
        <v>3146</v>
      </c>
      <c r="Q17" s="67">
        <v>0.91100000000000003</v>
      </c>
      <c r="R17" s="71">
        <v>945.5</v>
      </c>
      <c r="S17" s="75">
        <v>933</v>
      </c>
      <c r="T17" s="51">
        <v>14100</v>
      </c>
      <c r="U17" s="58">
        <v>4.6399999999999997</v>
      </c>
      <c r="V17" s="58">
        <v>5.6</v>
      </c>
      <c r="W17" s="5">
        <v>4.9000000000000004</v>
      </c>
      <c r="X17" s="53">
        <v>2.2799999999999998</v>
      </c>
      <c r="Y17" s="62">
        <v>15.2</v>
      </c>
      <c r="Z17" s="5">
        <v>68</v>
      </c>
      <c r="AA17" s="62">
        <v>1.1000000000000001</v>
      </c>
      <c r="AB17" s="5">
        <v>87</v>
      </c>
      <c r="AC17" s="5">
        <v>53</v>
      </c>
      <c r="AD17" s="5">
        <v>37</v>
      </c>
      <c r="AE17" s="43">
        <v>5</v>
      </c>
    </row>
    <row r="18" spans="1:31" x14ac:dyDescent="0.2">
      <c r="A18" s="1">
        <v>2</v>
      </c>
      <c r="B18" s="1" t="s">
        <v>38</v>
      </c>
      <c r="C18" s="28">
        <v>2.3969999999999998</v>
      </c>
      <c r="D18" s="1">
        <v>19</v>
      </c>
      <c r="E18" s="26">
        <v>2</v>
      </c>
      <c r="F18" s="26">
        <v>0</v>
      </c>
      <c r="G18" s="21">
        <v>24.121500000000001</v>
      </c>
      <c r="H18" s="22">
        <v>13.327</v>
      </c>
      <c r="I18" s="23">
        <v>24.408000000000001</v>
      </c>
      <c r="J18" s="24">
        <f t="shared" si="1"/>
        <v>2.1768342207382005</v>
      </c>
      <c r="K18" s="24">
        <f t="shared" si="0"/>
        <v>9.1850554552273422</v>
      </c>
      <c r="L18" s="33">
        <v>0</v>
      </c>
      <c r="M18" s="1"/>
      <c r="N18" s="38"/>
      <c r="O18" s="44"/>
      <c r="P18" s="44"/>
      <c r="Q18" s="65"/>
      <c r="R18" s="69"/>
      <c r="S18" s="74"/>
      <c r="T18" s="49"/>
      <c r="U18" s="56">
        <v>4.6399999999999997</v>
      </c>
      <c r="V18" s="56">
        <v>5.6</v>
      </c>
      <c r="W18" s="1">
        <v>4.9000000000000004</v>
      </c>
      <c r="X18" s="28">
        <v>2.2799999999999998</v>
      </c>
      <c r="Y18" s="60">
        <v>15.2</v>
      </c>
      <c r="Z18" s="1">
        <v>68</v>
      </c>
      <c r="AA18" s="60">
        <v>1.1000000000000001</v>
      </c>
      <c r="AB18" s="1">
        <v>87</v>
      </c>
      <c r="AC18" s="1">
        <v>53</v>
      </c>
      <c r="AD18" s="1">
        <v>37</v>
      </c>
      <c r="AE18" s="36">
        <v>5</v>
      </c>
    </row>
    <row r="19" spans="1:31" x14ac:dyDescent="0.2">
      <c r="A19" s="1">
        <v>2</v>
      </c>
      <c r="B19" s="1" t="s">
        <v>38</v>
      </c>
      <c r="C19" s="28">
        <v>2.3969999999999998</v>
      </c>
      <c r="D19" s="1">
        <v>19</v>
      </c>
      <c r="E19" s="1">
        <v>2</v>
      </c>
      <c r="F19" s="1">
        <v>1</v>
      </c>
      <c r="G19" s="11">
        <v>2.6739999999999999</v>
      </c>
      <c r="H19" s="12">
        <v>1.4970000000000001</v>
      </c>
      <c r="I19" s="13">
        <v>2.7054999999999998</v>
      </c>
      <c r="J19" s="18">
        <f t="shared" si="1"/>
        <v>2.2126603227141088</v>
      </c>
      <c r="K19" s="18">
        <f t="shared" si="0"/>
        <v>7.6904329280722106</v>
      </c>
      <c r="L19" s="33">
        <v>400</v>
      </c>
      <c r="M19" s="1">
        <v>1</v>
      </c>
      <c r="N19" s="38">
        <v>45432</v>
      </c>
      <c r="O19" s="44">
        <v>1028</v>
      </c>
      <c r="P19" s="44">
        <v>2564</v>
      </c>
      <c r="Q19" s="65">
        <v>0.34399999999999997</v>
      </c>
      <c r="R19" s="69">
        <v>520.29999999999995</v>
      </c>
      <c r="S19" s="74">
        <v>767</v>
      </c>
      <c r="T19" s="49">
        <v>41810</v>
      </c>
      <c r="U19" s="56">
        <v>4.6399999999999997</v>
      </c>
      <c r="V19" s="56">
        <v>5.6</v>
      </c>
      <c r="W19" s="1">
        <v>4.9000000000000004</v>
      </c>
      <c r="X19" s="28">
        <v>2.2799999999999998</v>
      </c>
      <c r="Y19" s="60">
        <v>15.2</v>
      </c>
      <c r="Z19" s="1">
        <v>68</v>
      </c>
      <c r="AA19" s="60">
        <v>1.1000000000000001</v>
      </c>
      <c r="AB19" s="1">
        <v>87</v>
      </c>
      <c r="AC19" s="1">
        <v>53</v>
      </c>
      <c r="AD19" s="1">
        <v>37</v>
      </c>
      <c r="AE19" s="36">
        <v>5</v>
      </c>
    </row>
    <row r="20" spans="1:31" x14ac:dyDescent="0.2">
      <c r="A20" s="1">
        <v>2</v>
      </c>
      <c r="B20" s="1" t="s">
        <v>38</v>
      </c>
      <c r="C20" s="28">
        <v>2.3969999999999998</v>
      </c>
      <c r="D20" s="1">
        <v>19</v>
      </c>
      <c r="E20" s="1">
        <v>2</v>
      </c>
      <c r="F20" s="1">
        <v>2</v>
      </c>
      <c r="G20" s="11">
        <v>2.6415000000000002</v>
      </c>
      <c r="H20" s="12">
        <v>1.4655</v>
      </c>
      <c r="I20" s="13">
        <v>2.6549999999999998</v>
      </c>
      <c r="J20" s="18">
        <f t="shared" si="1"/>
        <v>2.2206809583858771</v>
      </c>
      <c r="K20" s="18">
        <f t="shared" si="0"/>
        <v>7.3558215108102898</v>
      </c>
      <c r="L20" s="33">
        <v>400</v>
      </c>
      <c r="M20" s="1">
        <v>2</v>
      </c>
      <c r="N20" s="38">
        <v>45432</v>
      </c>
      <c r="O20" s="44">
        <v>650</v>
      </c>
      <c r="P20" s="44">
        <v>1629</v>
      </c>
      <c r="Q20" s="65">
        <v>0.29699999999999999</v>
      </c>
      <c r="R20" s="69">
        <v>334.1</v>
      </c>
      <c r="S20" s="74">
        <v>489</v>
      </c>
      <c r="T20" s="49">
        <v>267780</v>
      </c>
      <c r="U20" s="56">
        <v>4.6399999999999997</v>
      </c>
      <c r="V20" s="56">
        <v>5.6</v>
      </c>
      <c r="W20" s="1">
        <v>4.9000000000000004</v>
      </c>
      <c r="X20" s="28">
        <v>2.2799999999999998</v>
      </c>
      <c r="Y20" s="60">
        <v>15.2</v>
      </c>
      <c r="Z20" s="1">
        <v>68</v>
      </c>
      <c r="AA20" s="60">
        <v>1.1000000000000001</v>
      </c>
      <c r="AB20" s="1">
        <v>87</v>
      </c>
      <c r="AC20" s="1">
        <v>53</v>
      </c>
      <c r="AD20" s="1">
        <v>37</v>
      </c>
      <c r="AE20" s="36">
        <v>5</v>
      </c>
    </row>
    <row r="21" spans="1:31" x14ac:dyDescent="0.2">
      <c r="A21" s="1">
        <v>2</v>
      </c>
      <c r="B21" s="1" t="s">
        <v>38</v>
      </c>
      <c r="C21" s="28">
        <v>2.3969999999999998</v>
      </c>
      <c r="D21" s="1">
        <v>19</v>
      </c>
      <c r="E21" s="1">
        <v>2</v>
      </c>
      <c r="F21" s="1">
        <v>3</v>
      </c>
      <c r="G21" s="11">
        <v>2.6564999999999999</v>
      </c>
      <c r="H21" s="12">
        <v>1.484</v>
      </c>
      <c r="I21" s="13">
        <v>2.6779999999999999</v>
      </c>
      <c r="J21" s="18">
        <f t="shared" si="1"/>
        <v>2.2248743718592965</v>
      </c>
      <c r="K21" s="18">
        <f t="shared" si="0"/>
        <v>7.1808772691157046</v>
      </c>
      <c r="L21" s="33">
        <v>400</v>
      </c>
      <c r="M21" s="1">
        <v>3</v>
      </c>
      <c r="N21" s="38">
        <v>45433</v>
      </c>
      <c r="O21" s="44">
        <v>1585</v>
      </c>
      <c r="P21" s="44">
        <v>3963</v>
      </c>
      <c r="Q21" s="65">
        <v>0.32500000000000001</v>
      </c>
      <c r="R21" s="69">
        <v>780.9</v>
      </c>
      <c r="S21" s="74">
        <v>1189</v>
      </c>
      <c r="T21" s="49">
        <v>47550</v>
      </c>
      <c r="U21" s="56">
        <v>4.6399999999999997</v>
      </c>
      <c r="V21" s="56">
        <v>5.6</v>
      </c>
      <c r="W21" s="1">
        <v>4.9000000000000004</v>
      </c>
      <c r="X21" s="28">
        <v>2.2799999999999998</v>
      </c>
      <c r="Y21" s="60">
        <v>15.2</v>
      </c>
      <c r="Z21" s="1">
        <v>68</v>
      </c>
      <c r="AA21" s="60">
        <v>1.1000000000000001</v>
      </c>
      <c r="AB21" s="1">
        <v>87</v>
      </c>
      <c r="AC21" s="1">
        <v>53</v>
      </c>
      <c r="AD21" s="1">
        <v>37</v>
      </c>
      <c r="AE21" s="36">
        <v>5</v>
      </c>
    </row>
    <row r="22" spans="1:31" ht="16" thickBot="1" x14ac:dyDescent="0.25">
      <c r="A22" s="1">
        <v>2</v>
      </c>
      <c r="B22" s="1" t="s">
        <v>38</v>
      </c>
      <c r="C22" s="29">
        <v>2.3969999999999998</v>
      </c>
      <c r="D22" s="2">
        <v>19</v>
      </c>
      <c r="E22" s="2">
        <v>2</v>
      </c>
      <c r="F22" s="2">
        <v>4</v>
      </c>
      <c r="G22" s="16">
        <v>2.6145</v>
      </c>
      <c r="H22" s="10">
        <v>1.4535</v>
      </c>
      <c r="I22" s="17">
        <v>2.6305000000000001</v>
      </c>
      <c r="J22" s="20">
        <f t="shared" si="1"/>
        <v>2.221325403568394</v>
      </c>
      <c r="K22" s="20">
        <f t="shared" si="0"/>
        <v>7.3289360213435906</v>
      </c>
      <c r="L22" s="34">
        <v>400</v>
      </c>
      <c r="M22" s="2">
        <v>4</v>
      </c>
      <c r="N22" s="39">
        <v>45433</v>
      </c>
      <c r="O22" s="46">
        <v>1630</v>
      </c>
      <c r="P22" s="46">
        <v>4085</v>
      </c>
      <c r="Q22" s="66">
        <v>0.32</v>
      </c>
      <c r="R22" s="70">
        <v>835.6</v>
      </c>
      <c r="S22" s="76">
        <v>1225</v>
      </c>
      <c r="T22" s="50">
        <v>25060</v>
      </c>
      <c r="U22" s="57">
        <v>4.6399999999999997</v>
      </c>
      <c r="V22" s="57">
        <v>5.6</v>
      </c>
      <c r="W22" s="2">
        <v>4.9000000000000004</v>
      </c>
      <c r="X22" s="29">
        <v>2.2799999999999998</v>
      </c>
      <c r="Y22" s="61">
        <v>15.2</v>
      </c>
      <c r="Z22" s="2">
        <v>68</v>
      </c>
      <c r="AA22" s="61">
        <v>1.1000000000000001</v>
      </c>
      <c r="AB22" s="2">
        <v>87</v>
      </c>
      <c r="AC22" s="2">
        <v>53</v>
      </c>
      <c r="AD22" s="2">
        <v>37</v>
      </c>
      <c r="AE22" s="4">
        <v>5</v>
      </c>
    </row>
    <row r="23" spans="1:31" x14ac:dyDescent="0.2">
      <c r="A23" s="1">
        <v>3</v>
      </c>
      <c r="B23" s="1" t="s">
        <v>39</v>
      </c>
      <c r="C23" s="28">
        <v>2.3780000000000001</v>
      </c>
      <c r="D23" s="1">
        <v>12.5</v>
      </c>
      <c r="E23" s="26">
        <v>1</v>
      </c>
      <c r="F23" s="26">
        <v>0</v>
      </c>
      <c r="G23" s="21">
        <v>24.1035</v>
      </c>
      <c r="H23" s="22">
        <v>13.2965</v>
      </c>
      <c r="I23" s="23">
        <v>24.3095</v>
      </c>
      <c r="J23" s="24">
        <f t="shared" si="1"/>
        <v>2.1886406973576684</v>
      </c>
      <c r="K23" s="24">
        <f t="shared" si="0"/>
        <v>7.9629647873141973</v>
      </c>
      <c r="L23" s="32">
        <v>0</v>
      </c>
      <c r="M23" s="30"/>
      <c r="N23" s="40"/>
      <c r="O23" s="45"/>
      <c r="P23" s="45"/>
      <c r="Q23" s="64"/>
      <c r="R23" s="68"/>
      <c r="S23" s="73"/>
      <c r="T23" s="48"/>
      <c r="U23" s="59">
        <v>4.99</v>
      </c>
      <c r="V23" s="59">
        <v>5.6</v>
      </c>
      <c r="W23" s="30">
        <v>4.4000000000000004</v>
      </c>
      <c r="X23" s="31">
        <v>2.2730000000000001</v>
      </c>
      <c r="Y23" s="63">
        <v>15.5</v>
      </c>
      <c r="Z23" s="30">
        <v>72</v>
      </c>
      <c r="AA23" s="63">
        <v>1.1000000000000001</v>
      </c>
      <c r="AB23" s="30">
        <v>92</v>
      </c>
      <c r="AC23" s="30">
        <v>55</v>
      </c>
      <c r="AD23" s="30">
        <v>38</v>
      </c>
      <c r="AE23" s="35">
        <v>5.6</v>
      </c>
    </row>
    <row r="24" spans="1:31" x14ac:dyDescent="0.2">
      <c r="A24" s="1">
        <v>3</v>
      </c>
      <c r="B24" s="1" t="s">
        <v>39</v>
      </c>
      <c r="C24" s="28">
        <v>2.3780000000000001</v>
      </c>
      <c r="D24" s="1">
        <v>12.5</v>
      </c>
      <c r="E24" s="1">
        <v>1</v>
      </c>
      <c r="F24" s="1">
        <v>1</v>
      </c>
      <c r="G24" s="11">
        <v>2.6404999999999998</v>
      </c>
      <c r="H24" s="12">
        <v>1.4524999999999999</v>
      </c>
      <c r="I24" s="13">
        <v>2.6520000000000001</v>
      </c>
      <c r="J24" s="18">
        <f t="shared" si="1"/>
        <v>2.2013338891204661</v>
      </c>
      <c r="K24" s="18">
        <f t="shared" si="0"/>
        <v>7.4291888511158088</v>
      </c>
      <c r="L24" s="33">
        <v>600</v>
      </c>
      <c r="M24" s="1">
        <v>1</v>
      </c>
      <c r="N24" s="38">
        <v>45447</v>
      </c>
      <c r="O24" s="44">
        <v>2815</v>
      </c>
      <c r="P24" s="44">
        <v>4696</v>
      </c>
      <c r="Q24" s="65">
        <v>1.778</v>
      </c>
      <c r="R24" s="69">
        <v>1387.3</v>
      </c>
      <c r="S24" s="74">
        <v>1408</v>
      </c>
      <c r="T24" s="49">
        <v>26250</v>
      </c>
      <c r="U24" s="56">
        <v>4.99</v>
      </c>
      <c r="V24" s="56">
        <v>5.6</v>
      </c>
      <c r="W24" s="1">
        <v>4.4000000000000004</v>
      </c>
      <c r="X24" s="28">
        <v>2.2730000000000001</v>
      </c>
      <c r="Y24" s="60">
        <v>15.5</v>
      </c>
      <c r="Z24" s="1">
        <v>72</v>
      </c>
      <c r="AA24" s="60">
        <v>1.1000000000000001</v>
      </c>
      <c r="AB24" s="1">
        <v>92</v>
      </c>
      <c r="AC24" s="1">
        <v>55</v>
      </c>
      <c r="AD24" s="1">
        <v>38</v>
      </c>
      <c r="AE24" s="36">
        <v>5.6</v>
      </c>
    </row>
    <row r="25" spans="1:31" x14ac:dyDescent="0.2">
      <c r="A25" s="1">
        <v>3</v>
      </c>
      <c r="B25" s="1" t="s">
        <v>39</v>
      </c>
      <c r="C25" s="28">
        <v>2.3780000000000001</v>
      </c>
      <c r="D25" s="1">
        <v>12.5</v>
      </c>
      <c r="E25" s="1">
        <v>1</v>
      </c>
      <c r="F25" s="1">
        <v>2</v>
      </c>
      <c r="G25" s="11">
        <v>2.7294999999999998</v>
      </c>
      <c r="H25" s="12">
        <v>1.512</v>
      </c>
      <c r="I25" s="13">
        <v>2.7534999999999998</v>
      </c>
      <c r="J25" s="18">
        <f t="shared" si="1"/>
        <v>2.1985501409585182</v>
      </c>
      <c r="K25" s="18">
        <f t="shared" si="0"/>
        <v>7.5462514315173257</v>
      </c>
      <c r="L25" s="33">
        <v>600</v>
      </c>
      <c r="M25" s="1">
        <v>2</v>
      </c>
      <c r="N25" s="38">
        <v>45447</v>
      </c>
      <c r="O25" s="44">
        <v>2932</v>
      </c>
      <c r="P25" s="44">
        <v>4874</v>
      </c>
      <c r="Q25" s="65">
        <v>1.849</v>
      </c>
      <c r="R25" s="69">
        <v>1458.3</v>
      </c>
      <c r="S25" s="74">
        <v>2449</v>
      </c>
      <c r="T25" s="49">
        <v>41460</v>
      </c>
      <c r="U25" s="56">
        <v>4.99</v>
      </c>
      <c r="V25" s="56">
        <v>5.6</v>
      </c>
      <c r="W25" s="1">
        <v>4.4000000000000004</v>
      </c>
      <c r="X25" s="28">
        <v>2.2730000000000001</v>
      </c>
      <c r="Y25" s="60">
        <v>15.5</v>
      </c>
      <c r="Z25" s="1">
        <v>72</v>
      </c>
      <c r="AA25" s="60">
        <v>1.1000000000000001</v>
      </c>
      <c r="AB25" s="1">
        <v>92</v>
      </c>
      <c r="AC25" s="1">
        <v>55</v>
      </c>
      <c r="AD25" s="1">
        <v>38</v>
      </c>
      <c r="AE25" s="36">
        <v>5.6</v>
      </c>
    </row>
    <row r="26" spans="1:31" x14ac:dyDescent="0.2">
      <c r="A26" s="1">
        <v>3</v>
      </c>
      <c r="B26" s="1" t="s">
        <v>39</v>
      </c>
      <c r="C26" s="28">
        <v>2.3780000000000001</v>
      </c>
      <c r="D26" s="1">
        <v>12.5</v>
      </c>
      <c r="E26" s="1">
        <v>1</v>
      </c>
      <c r="F26" s="1">
        <v>3</v>
      </c>
      <c r="G26" s="11">
        <v>2.7389999999999999</v>
      </c>
      <c r="H26" s="12">
        <v>1.5089999999999999</v>
      </c>
      <c r="I26" s="13">
        <v>2.7549999999999999</v>
      </c>
      <c r="J26" s="18">
        <f t="shared" si="1"/>
        <v>2.1982343499197432</v>
      </c>
      <c r="K26" s="18">
        <f t="shared" si="0"/>
        <v>7.559531121962026</v>
      </c>
      <c r="L26" s="33">
        <v>600</v>
      </c>
      <c r="M26" s="1">
        <v>3</v>
      </c>
      <c r="N26" s="38">
        <v>45447</v>
      </c>
      <c r="O26" s="44">
        <v>3016</v>
      </c>
      <c r="P26" s="44">
        <v>5041</v>
      </c>
      <c r="Q26" s="65">
        <v>1.839</v>
      </c>
      <c r="R26" s="69">
        <v>1531.3</v>
      </c>
      <c r="S26" s="74">
        <v>2362</v>
      </c>
      <c r="T26" s="49">
        <v>43000</v>
      </c>
      <c r="U26" s="56">
        <v>4.99</v>
      </c>
      <c r="V26" s="56">
        <v>5.6</v>
      </c>
      <c r="W26" s="1">
        <v>4.4000000000000004</v>
      </c>
      <c r="X26" s="28">
        <v>2.2730000000000001</v>
      </c>
      <c r="Y26" s="60">
        <v>15.5</v>
      </c>
      <c r="Z26" s="1">
        <v>72</v>
      </c>
      <c r="AA26" s="60">
        <v>1.1000000000000001</v>
      </c>
      <c r="AB26" s="1">
        <v>92</v>
      </c>
      <c r="AC26" s="1">
        <v>55</v>
      </c>
      <c r="AD26" s="1">
        <v>38</v>
      </c>
      <c r="AE26" s="36">
        <v>5.6</v>
      </c>
    </row>
    <row r="27" spans="1:31" x14ac:dyDescent="0.2">
      <c r="A27" s="1">
        <v>3</v>
      </c>
      <c r="B27" s="1" t="s">
        <v>39</v>
      </c>
      <c r="C27" s="28">
        <v>2.3780000000000001</v>
      </c>
      <c r="D27" s="1">
        <v>12.5</v>
      </c>
      <c r="E27" s="5">
        <v>1</v>
      </c>
      <c r="F27" s="5">
        <v>4</v>
      </c>
      <c r="G27" s="14">
        <v>2.7614999999999998</v>
      </c>
      <c r="H27" s="9">
        <v>1.54</v>
      </c>
      <c r="I27" s="15">
        <v>2.7915000000000001</v>
      </c>
      <c r="J27" s="19">
        <f t="shared" si="1"/>
        <v>2.2065521374350778</v>
      </c>
      <c r="K27" s="19">
        <f t="shared" si="0"/>
        <v>7.2097503181212108</v>
      </c>
      <c r="L27" s="41">
        <v>400</v>
      </c>
      <c r="M27" s="5">
        <v>4</v>
      </c>
      <c r="N27" s="42">
        <v>45447</v>
      </c>
      <c r="O27" s="47">
        <v>2217</v>
      </c>
      <c r="P27" s="47">
        <v>5522</v>
      </c>
      <c r="Q27" s="67">
        <v>0.78</v>
      </c>
      <c r="R27" s="71">
        <v>1141.2</v>
      </c>
      <c r="S27" s="75">
        <v>2874</v>
      </c>
      <c r="T27" s="51">
        <v>655030</v>
      </c>
      <c r="U27" s="58">
        <v>4.99</v>
      </c>
      <c r="V27" s="58">
        <v>5.6</v>
      </c>
      <c r="W27" s="5">
        <v>4.4000000000000004</v>
      </c>
      <c r="X27" s="53">
        <v>2.2730000000000001</v>
      </c>
      <c r="Y27" s="62">
        <v>15.5</v>
      </c>
      <c r="Z27" s="5">
        <v>72</v>
      </c>
      <c r="AA27" s="62">
        <v>1.1000000000000001</v>
      </c>
      <c r="AB27" s="5">
        <v>92</v>
      </c>
      <c r="AC27" s="5">
        <v>55</v>
      </c>
      <c r="AD27" s="5">
        <v>38</v>
      </c>
      <c r="AE27" s="43">
        <v>5.6</v>
      </c>
    </row>
    <row r="28" spans="1:31" x14ac:dyDescent="0.2">
      <c r="A28" s="1">
        <v>3</v>
      </c>
      <c r="B28" s="1" t="s">
        <v>40</v>
      </c>
      <c r="C28" s="28">
        <v>2.3780000000000001</v>
      </c>
      <c r="D28" s="1">
        <v>12.5</v>
      </c>
      <c r="E28" s="26">
        <v>2</v>
      </c>
      <c r="F28" s="26">
        <v>0</v>
      </c>
      <c r="G28" s="21">
        <v>24.176500000000001</v>
      </c>
      <c r="H28" s="22">
        <v>13.2905</v>
      </c>
      <c r="I28" s="23">
        <v>24.307500000000001</v>
      </c>
      <c r="J28" s="24">
        <f t="shared" si="1"/>
        <v>2.1944721793591722</v>
      </c>
      <c r="K28" s="24">
        <f t="shared" si="0"/>
        <v>7.7177384626084038</v>
      </c>
      <c r="L28" s="33">
        <v>0</v>
      </c>
      <c r="M28" s="1"/>
      <c r="N28" s="38"/>
      <c r="O28" s="44"/>
      <c r="P28" s="44"/>
      <c r="Q28" s="65"/>
      <c r="R28" s="69"/>
      <c r="S28" s="74"/>
      <c r="T28" s="49"/>
      <c r="U28" s="56">
        <v>4.99</v>
      </c>
      <c r="V28" s="56">
        <v>5.6</v>
      </c>
      <c r="W28" s="1">
        <v>4.4000000000000004</v>
      </c>
      <c r="X28" s="28">
        <v>2.2730000000000001</v>
      </c>
      <c r="Y28" s="60">
        <v>15.5</v>
      </c>
      <c r="Z28" s="1">
        <v>72</v>
      </c>
      <c r="AA28" s="60">
        <v>1.1000000000000001</v>
      </c>
      <c r="AB28" s="1">
        <v>92</v>
      </c>
      <c r="AC28" s="1">
        <v>55</v>
      </c>
      <c r="AD28" s="1">
        <v>38</v>
      </c>
      <c r="AE28" s="36">
        <v>5.6</v>
      </c>
    </row>
    <row r="29" spans="1:31" x14ac:dyDescent="0.2">
      <c r="A29" s="1">
        <v>3</v>
      </c>
      <c r="B29" s="1" t="s">
        <v>40</v>
      </c>
      <c r="C29" s="28">
        <v>2.3780000000000001</v>
      </c>
      <c r="D29" s="1">
        <v>12.5</v>
      </c>
      <c r="E29" s="1">
        <v>2</v>
      </c>
      <c r="F29" s="1">
        <v>1</v>
      </c>
      <c r="G29" s="11">
        <v>2.7305000000000001</v>
      </c>
      <c r="H29" s="12">
        <v>1.5125</v>
      </c>
      <c r="I29" s="13">
        <v>2.7534999999999998</v>
      </c>
      <c r="J29" s="18">
        <f t="shared" si="1"/>
        <v>2.2002417405318293</v>
      </c>
      <c r="K29" s="18">
        <f t="shared" si="0"/>
        <v>7.4751160415546973</v>
      </c>
      <c r="L29" s="33">
        <v>400</v>
      </c>
      <c r="M29" s="1">
        <v>1</v>
      </c>
      <c r="N29" s="38">
        <v>45448</v>
      </c>
      <c r="O29" s="44">
        <v>2350</v>
      </c>
      <c r="P29" s="44">
        <v>5867</v>
      </c>
      <c r="Q29" s="65">
        <v>0.71699999999999997</v>
      </c>
      <c r="R29" s="69">
        <v>1182.5999999999999</v>
      </c>
      <c r="S29" s="74">
        <v>3830</v>
      </c>
      <c r="T29" s="49">
        <v>321630</v>
      </c>
      <c r="U29" s="56">
        <v>4.99</v>
      </c>
      <c r="V29" s="56">
        <v>5.6</v>
      </c>
      <c r="W29" s="1">
        <v>4.4000000000000004</v>
      </c>
      <c r="X29" s="28">
        <v>2.2730000000000001</v>
      </c>
      <c r="Y29" s="60">
        <v>15.5</v>
      </c>
      <c r="Z29" s="1">
        <v>72</v>
      </c>
      <c r="AA29" s="60">
        <v>1.1000000000000001</v>
      </c>
      <c r="AB29" s="1">
        <v>92</v>
      </c>
      <c r="AC29" s="1">
        <v>55</v>
      </c>
      <c r="AD29" s="1">
        <v>38</v>
      </c>
      <c r="AE29" s="36">
        <v>5.6</v>
      </c>
    </row>
    <row r="30" spans="1:31" x14ac:dyDescent="0.2">
      <c r="A30" s="1">
        <v>3</v>
      </c>
      <c r="B30" s="1" t="s">
        <v>40</v>
      </c>
      <c r="C30" s="28">
        <v>2.3780000000000001</v>
      </c>
      <c r="D30" s="1">
        <v>12.5</v>
      </c>
      <c r="E30" s="1">
        <v>2</v>
      </c>
      <c r="F30" s="1">
        <v>2</v>
      </c>
      <c r="G30" s="11">
        <v>2.7349999999999999</v>
      </c>
      <c r="H30" s="12">
        <v>1.4975000000000001</v>
      </c>
      <c r="I30" s="13">
        <v>2.7450000000000001</v>
      </c>
      <c r="J30" s="18">
        <f t="shared" si="1"/>
        <v>2.1923847695390779</v>
      </c>
      <c r="K30" s="18">
        <f t="shared" si="0"/>
        <v>7.8055185223264161</v>
      </c>
      <c r="L30" s="33">
        <v>400</v>
      </c>
      <c r="M30" s="1">
        <v>2</v>
      </c>
      <c r="N30" s="38">
        <v>45449</v>
      </c>
      <c r="O30" s="44">
        <v>2095</v>
      </c>
      <c r="P30" s="44">
        <v>5248</v>
      </c>
      <c r="Q30" s="65">
        <v>0.79500000000000004</v>
      </c>
      <c r="R30" s="69">
        <v>1072</v>
      </c>
      <c r="S30" s="74">
        <v>3649</v>
      </c>
      <c r="T30" s="49">
        <v>302110</v>
      </c>
      <c r="U30" s="56">
        <v>4.99</v>
      </c>
      <c r="V30" s="56">
        <v>5.6</v>
      </c>
      <c r="W30" s="1">
        <v>4.4000000000000004</v>
      </c>
      <c r="X30" s="28">
        <v>2.2730000000000001</v>
      </c>
      <c r="Y30" s="60">
        <v>15.5</v>
      </c>
      <c r="Z30" s="1">
        <v>72</v>
      </c>
      <c r="AA30" s="60">
        <v>1.1000000000000001</v>
      </c>
      <c r="AB30" s="1">
        <v>92</v>
      </c>
      <c r="AC30" s="1">
        <v>55</v>
      </c>
      <c r="AD30" s="1">
        <v>38</v>
      </c>
      <c r="AE30" s="36">
        <v>5.6</v>
      </c>
    </row>
    <row r="31" spans="1:31" x14ac:dyDescent="0.2">
      <c r="A31" s="1">
        <v>3</v>
      </c>
      <c r="B31" s="1" t="s">
        <v>40</v>
      </c>
      <c r="C31" s="28">
        <v>2.3780000000000001</v>
      </c>
      <c r="D31" s="1">
        <v>12.5</v>
      </c>
      <c r="E31" s="1">
        <v>2</v>
      </c>
      <c r="F31" s="1">
        <v>3</v>
      </c>
      <c r="G31" s="11">
        <v>2.7214999999999998</v>
      </c>
      <c r="H31" s="12">
        <v>1.5115000000000001</v>
      </c>
      <c r="I31" s="13">
        <v>2.7450000000000001</v>
      </c>
      <c r="J31" s="18">
        <f t="shared" si="1"/>
        <v>2.2063234698013781</v>
      </c>
      <c r="K31" s="18">
        <f t="shared" si="0"/>
        <v>7.2193662825324694</v>
      </c>
      <c r="L31" s="33"/>
      <c r="M31" s="1"/>
      <c r="N31" s="38"/>
      <c r="O31" s="44"/>
      <c r="P31" s="44"/>
      <c r="Q31" s="65"/>
      <c r="R31" s="69"/>
      <c r="S31" s="74"/>
      <c r="T31" s="49"/>
      <c r="U31" s="56">
        <v>4.99</v>
      </c>
      <c r="V31" s="56">
        <v>5.6</v>
      </c>
      <c r="W31" s="1">
        <v>4.4000000000000004</v>
      </c>
      <c r="X31" s="28">
        <v>2.2730000000000001</v>
      </c>
      <c r="Y31" s="60">
        <v>15.5</v>
      </c>
      <c r="Z31" s="1">
        <v>72</v>
      </c>
      <c r="AA31" s="60">
        <v>1.1000000000000001</v>
      </c>
      <c r="AB31" s="1">
        <v>92</v>
      </c>
      <c r="AC31" s="1">
        <v>55</v>
      </c>
      <c r="AD31" s="1">
        <v>38</v>
      </c>
      <c r="AE31" s="36">
        <v>5.6</v>
      </c>
    </row>
    <row r="32" spans="1:31" ht="16" thickBot="1" x14ac:dyDescent="0.25">
      <c r="A32" s="1">
        <v>3</v>
      </c>
      <c r="B32" s="1" t="s">
        <v>40</v>
      </c>
      <c r="C32" s="29">
        <v>2.3780000000000001</v>
      </c>
      <c r="D32" s="2">
        <v>12.5</v>
      </c>
      <c r="E32" s="2">
        <v>2</v>
      </c>
      <c r="F32" s="2">
        <v>4</v>
      </c>
      <c r="G32" s="16">
        <v>2.758</v>
      </c>
      <c r="H32" s="10">
        <v>1.5205</v>
      </c>
      <c r="I32" s="17">
        <v>2.7745000000000002</v>
      </c>
      <c r="J32" s="20">
        <f t="shared" si="1"/>
        <v>2.1993620414673041</v>
      </c>
      <c r="K32" s="20">
        <f t="shared" si="0"/>
        <v>7.5121092738728361</v>
      </c>
      <c r="L32" s="34"/>
      <c r="M32" s="2"/>
      <c r="N32" s="39"/>
      <c r="O32" s="46"/>
      <c r="P32" s="46"/>
      <c r="Q32" s="66"/>
      <c r="R32" s="70"/>
      <c r="S32" s="76"/>
      <c r="T32" s="50"/>
      <c r="U32" s="57">
        <v>4.99</v>
      </c>
      <c r="V32" s="57">
        <v>5.6</v>
      </c>
      <c r="W32" s="2">
        <v>4.4000000000000004</v>
      </c>
      <c r="X32" s="29">
        <v>2.2730000000000001</v>
      </c>
      <c r="Y32" s="61">
        <v>15.5</v>
      </c>
      <c r="Z32" s="2">
        <v>72</v>
      </c>
      <c r="AA32" s="61">
        <v>1.1000000000000001</v>
      </c>
      <c r="AB32" s="2">
        <v>92</v>
      </c>
      <c r="AC32" s="2">
        <v>55</v>
      </c>
      <c r="AD32" s="2">
        <v>38</v>
      </c>
      <c r="AE32" s="4">
        <v>5.6</v>
      </c>
    </row>
    <row r="33" spans="1:31" x14ac:dyDescent="0.2">
      <c r="A33" s="1">
        <v>4</v>
      </c>
      <c r="B33" s="1" t="s">
        <v>41</v>
      </c>
      <c r="C33" s="28">
        <v>2.383</v>
      </c>
      <c r="D33" s="1">
        <v>19</v>
      </c>
      <c r="E33" s="26">
        <v>1</v>
      </c>
      <c r="F33" s="26">
        <v>0</v>
      </c>
      <c r="G33" s="21">
        <v>24.217500000000001</v>
      </c>
      <c r="H33" s="22">
        <v>13.4785</v>
      </c>
      <c r="I33" s="23">
        <v>24.469000000000001</v>
      </c>
      <c r="J33" s="24">
        <f t="shared" si="1"/>
        <v>2.2034939265729494</v>
      </c>
      <c r="K33" s="24">
        <f t="shared" si="0"/>
        <v>7.5327768958057373</v>
      </c>
      <c r="L33" s="33">
        <v>0</v>
      </c>
      <c r="M33" s="1"/>
      <c r="N33" s="38"/>
      <c r="O33" s="44"/>
      <c r="P33" s="44"/>
      <c r="Q33" s="65"/>
      <c r="R33" s="69"/>
      <c r="S33" s="74"/>
      <c r="T33" s="49"/>
      <c r="U33" s="56">
        <v>4.9400000000000004</v>
      </c>
      <c r="V33" s="56">
        <v>5.68</v>
      </c>
      <c r="W33" s="1">
        <v>3.9</v>
      </c>
      <c r="X33" s="28">
        <v>2.2909999999999999</v>
      </c>
      <c r="Y33" s="60">
        <v>14.9</v>
      </c>
      <c r="Z33" s="1">
        <v>74</v>
      </c>
      <c r="AA33" s="60">
        <v>1</v>
      </c>
      <c r="AB33" s="1">
        <v>83</v>
      </c>
      <c r="AC33" s="1">
        <v>47</v>
      </c>
      <c r="AD33" s="1">
        <v>34</v>
      </c>
      <c r="AE33" s="36">
        <v>5</v>
      </c>
    </row>
    <row r="34" spans="1:31" x14ac:dyDescent="0.2">
      <c r="A34" s="1">
        <v>4</v>
      </c>
      <c r="B34" s="1" t="s">
        <v>41</v>
      </c>
      <c r="C34" s="28">
        <v>2.383</v>
      </c>
      <c r="D34" s="1">
        <v>19</v>
      </c>
      <c r="E34" s="1">
        <v>1</v>
      </c>
      <c r="F34" s="1">
        <v>1</v>
      </c>
      <c r="G34" s="11">
        <v>2.7865000000000002</v>
      </c>
      <c r="H34" s="12">
        <v>1.5549999999999999</v>
      </c>
      <c r="I34" s="13">
        <v>2.7989999999999999</v>
      </c>
      <c r="J34" s="18">
        <f t="shared" si="1"/>
        <v>2.239951768488746</v>
      </c>
      <c r="K34" s="18">
        <f t="shared" si="0"/>
        <v>6.002863261068148</v>
      </c>
      <c r="L34" s="33">
        <v>600</v>
      </c>
      <c r="M34" s="1">
        <v>1</v>
      </c>
      <c r="N34" s="38">
        <v>45441</v>
      </c>
      <c r="O34" s="44">
        <v>2764</v>
      </c>
      <c r="P34" s="44">
        <v>4613</v>
      </c>
      <c r="Q34" s="65">
        <v>1.9730000000000001</v>
      </c>
      <c r="R34" s="69">
        <v>1414</v>
      </c>
      <c r="S34" s="74">
        <v>2639</v>
      </c>
      <c r="T34" s="49">
        <v>77850</v>
      </c>
      <c r="U34" s="56">
        <v>4.9400000000000004</v>
      </c>
      <c r="V34" s="56">
        <v>5.68</v>
      </c>
      <c r="W34" s="1">
        <v>3.9</v>
      </c>
      <c r="X34" s="28">
        <v>2.2909999999999999</v>
      </c>
      <c r="Y34" s="60">
        <v>14.9</v>
      </c>
      <c r="Z34" s="1">
        <v>74</v>
      </c>
      <c r="AA34" s="60">
        <v>1</v>
      </c>
      <c r="AB34" s="1">
        <v>83</v>
      </c>
      <c r="AC34" s="1">
        <v>47</v>
      </c>
      <c r="AD34" s="1">
        <v>34</v>
      </c>
      <c r="AE34" s="36">
        <v>5</v>
      </c>
    </row>
    <row r="35" spans="1:31" x14ac:dyDescent="0.2">
      <c r="A35" s="1">
        <v>4</v>
      </c>
      <c r="B35" s="1" t="s">
        <v>41</v>
      </c>
      <c r="C35" s="28">
        <v>2.383</v>
      </c>
      <c r="D35" s="1">
        <v>19</v>
      </c>
      <c r="E35" s="1">
        <v>1</v>
      </c>
      <c r="F35" s="1">
        <v>2</v>
      </c>
      <c r="G35" s="11">
        <v>2.8414999999999999</v>
      </c>
      <c r="H35" s="12">
        <v>1.577</v>
      </c>
      <c r="I35" s="13">
        <v>2.8525</v>
      </c>
      <c r="J35" s="18">
        <f t="shared" si="1"/>
        <v>2.2277538220305759</v>
      </c>
      <c r="K35" s="18">
        <f t="shared" si="0"/>
        <v>6.5147368010668893</v>
      </c>
      <c r="L35" s="33">
        <v>600</v>
      </c>
      <c r="M35" s="1">
        <v>2</v>
      </c>
      <c r="N35" s="38">
        <v>45441</v>
      </c>
      <c r="O35" s="44">
        <v>3327</v>
      </c>
      <c r="P35" s="44">
        <v>5525</v>
      </c>
      <c r="Q35" s="65">
        <v>2.0590000000000002</v>
      </c>
      <c r="R35" s="69">
        <v>1713.2</v>
      </c>
      <c r="S35" s="74">
        <v>1861</v>
      </c>
      <c r="T35" s="49">
        <v>107500</v>
      </c>
      <c r="U35" s="56">
        <v>4.9400000000000004</v>
      </c>
      <c r="V35" s="56">
        <v>5.68</v>
      </c>
      <c r="W35" s="1">
        <v>3.9</v>
      </c>
      <c r="X35" s="28">
        <v>2.2909999999999999</v>
      </c>
      <c r="Y35" s="60">
        <v>14.9</v>
      </c>
      <c r="Z35" s="1">
        <v>74</v>
      </c>
      <c r="AA35" s="60">
        <v>1</v>
      </c>
      <c r="AB35" s="1">
        <v>83</v>
      </c>
      <c r="AC35" s="1">
        <v>47</v>
      </c>
      <c r="AD35" s="1">
        <v>34</v>
      </c>
      <c r="AE35" s="36">
        <v>5</v>
      </c>
    </row>
    <row r="36" spans="1:31" x14ac:dyDescent="0.2">
      <c r="A36" s="1">
        <v>4</v>
      </c>
      <c r="B36" s="1" t="s">
        <v>41</v>
      </c>
      <c r="C36" s="28">
        <v>2.383</v>
      </c>
      <c r="D36" s="1">
        <v>19</v>
      </c>
      <c r="E36" s="1">
        <v>1</v>
      </c>
      <c r="F36" s="1">
        <v>3</v>
      </c>
      <c r="G36" s="11">
        <v>2.7429999999999999</v>
      </c>
      <c r="H36" s="12">
        <v>1.5305</v>
      </c>
      <c r="I36" s="13">
        <v>2.758</v>
      </c>
      <c r="J36" s="18">
        <f t="shared" si="1"/>
        <v>2.2346232179226067</v>
      </c>
      <c r="K36" s="18">
        <f t="shared" si="0"/>
        <v>6.226470082979163</v>
      </c>
      <c r="L36" s="33">
        <v>600</v>
      </c>
      <c r="M36" s="1">
        <v>3</v>
      </c>
      <c r="N36" s="38">
        <v>45441</v>
      </c>
      <c r="O36" s="44">
        <v>3255</v>
      </c>
      <c r="P36" s="44">
        <v>5416</v>
      </c>
      <c r="Q36" s="65">
        <v>2.0459999999999998</v>
      </c>
      <c r="R36" s="69">
        <v>1633.8</v>
      </c>
      <c r="S36" s="74">
        <v>3046</v>
      </c>
      <c r="T36" s="49">
        <v>45450</v>
      </c>
      <c r="U36" s="56">
        <v>4.9400000000000004</v>
      </c>
      <c r="V36" s="56">
        <v>5.68</v>
      </c>
      <c r="W36" s="1">
        <v>3.9</v>
      </c>
      <c r="X36" s="28">
        <v>2.2909999999999999</v>
      </c>
      <c r="Y36" s="60">
        <v>14.9</v>
      </c>
      <c r="Z36" s="1">
        <v>74</v>
      </c>
      <c r="AA36" s="60">
        <v>1</v>
      </c>
      <c r="AB36" s="1">
        <v>83</v>
      </c>
      <c r="AC36" s="1">
        <v>47</v>
      </c>
      <c r="AD36" s="1">
        <v>34</v>
      </c>
      <c r="AE36" s="36">
        <v>5</v>
      </c>
    </row>
    <row r="37" spans="1:31" x14ac:dyDescent="0.2">
      <c r="A37" s="1">
        <v>4</v>
      </c>
      <c r="B37" s="1" t="s">
        <v>41</v>
      </c>
      <c r="C37" s="28">
        <v>2.383</v>
      </c>
      <c r="D37" s="1">
        <v>19</v>
      </c>
      <c r="E37" s="5">
        <v>1</v>
      </c>
      <c r="F37" s="5">
        <v>4</v>
      </c>
      <c r="G37" s="14">
        <v>2.6680000000000001</v>
      </c>
      <c r="H37" s="9">
        <v>1.4910000000000001</v>
      </c>
      <c r="I37" s="15">
        <v>2.6840000000000002</v>
      </c>
      <c r="J37" s="19">
        <f t="shared" si="1"/>
        <v>2.2363788767812238</v>
      </c>
      <c r="K37" s="19">
        <f t="shared" si="0"/>
        <v>6.1527957708256924</v>
      </c>
      <c r="L37" s="41">
        <v>400</v>
      </c>
      <c r="M37" s="5">
        <v>4</v>
      </c>
      <c r="N37" s="42">
        <v>45441</v>
      </c>
      <c r="O37" s="47">
        <v>2229</v>
      </c>
      <c r="P37" s="47">
        <v>5579</v>
      </c>
      <c r="Q37" s="67">
        <v>0.83899999999999997</v>
      </c>
      <c r="R37" s="71">
        <v>1088.3</v>
      </c>
      <c r="S37" s="75">
        <v>3254</v>
      </c>
      <c r="T37" s="51">
        <v>537410</v>
      </c>
      <c r="U37" s="58">
        <v>4.9400000000000004</v>
      </c>
      <c r="V37" s="58">
        <v>5.68</v>
      </c>
      <c r="W37" s="5">
        <v>3.9</v>
      </c>
      <c r="X37" s="53">
        <v>2.2909999999999999</v>
      </c>
      <c r="Y37" s="62">
        <v>14.9</v>
      </c>
      <c r="Z37" s="5">
        <v>74</v>
      </c>
      <c r="AA37" s="62">
        <v>1</v>
      </c>
      <c r="AB37" s="5">
        <v>83</v>
      </c>
      <c r="AC37" s="5">
        <v>47</v>
      </c>
      <c r="AD37" s="5">
        <v>34</v>
      </c>
      <c r="AE37" s="43">
        <v>5</v>
      </c>
    </row>
    <row r="38" spans="1:31" x14ac:dyDescent="0.2">
      <c r="A38" s="1">
        <v>4</v>
      </c>
      <c r="B38" s="1" t="s">
        <v>42</v>
      </c>
      <c r="C38" s="28">
        <v>2.383</v>
      </c>
      <c r="D38" s="1">
        <v>19</v>
      </c>
      <c r="E38" s="26">
        <v>2</v>
      </c>
      <c r="F38" s="26">
        <v>0</v>
      </c>
      <c r="G38" s="21">
        <v>24.1585</v>
      </c>
      <c r="H38" s="22">
        <v>13.44</v>
      </c>
      <c r="I38" s="23">
        <v>24.414999999999999</v>
      </c>
      <c r="J38" s="24">
        <f t="shared" si="1"/>
        <v>2.20123006833713</v>
      </c>
      <c r="K38" s="24">
        <f t="shared" si="0"/>
        <v>7.6277772414129252</v>
      </c>
      <c r="L38" s="33">
        <v>0</v>
      </c>
      <c r="M38" s="1"/>
      <c r="N38" s="38"/>
      <c r="O38" s="44"/>
      <c r="P38" s="44"/>
      <c r="Q38" s="65"/>
      <c r="R38" s="69"/>
      <c r="S38" s="74"/>
      <c r="T38" s="49"/>
      <c r="U38" s="56">
        <v>4.9400000000000004</v>
      </c>
      <c r="V38" s="56">
        <v>5.68</v>
      </c>
      <c r="W38" s="1">
        <v>3.9</v>
      </c>
      <c r="X38" s="28">
        <v>2.2909999999999999</v>
      </c>
      <c r="Y38" s="60">
        <v>14.9</v>
      </c>
      <c r="Z38" s="1">
        <v>74</v>
      </c>
      <c r="AA38" s="60">
        <v>1</v>
      </c>
      <c r="AB38" s="1">
        <v>83</v>
      </c>
      <c r="AC38" s="1">
        <v>47</v>
      </c>
      <c r="AD38" s="1">
        <v>34</v>
      </c>
      <c r="AE38" s="36">
        <v>5</v>
      </c>
    </row>
    <row r="39" spans="1:31" x14ac:dyDescent="0.2">
      <c r="A39" s="1">
        <v>4</v>
      </c>
      <c r="B39" s="1" t="s">
        <v>42</v>
      </c>
      <c r="C39" s="28">
        <v>2.383</v>
      </c>
      <c r="D39" s="1">
        <v>19</v>
      </c>
      <c r="E39" s="1">
        <v>2</v>
      </c>
      <c r="F39" s="1">
        <v>1</v>
      </c>
      <c r="G39" s="11">
        <v>2.8214999999999999</v>
      </c>
      <c r="H39" s="12">
        <v>1.573</v>
      </c>
      <c r="I39" s="13">
        <v>2.8330000000000002</v>
      </c>
      <c r="J39" s="18">
        <f t="shared" si="1"/>
        <v>2.2392857142857139</v>
      </c>
      <c r="K39" s="18">
        <f t="shared" si="0"/>
        <v>6.0308135003896872</v>
      </c>
      <c r="L39" s="33">
        <v>400</v>
      </c>
      <c r="M39" s="1">
        <v>1</v>
      </c>
      <c r="N39" s="38">
        <v>45442</v>
      </c>
      <c r="O39" s="44">
        <v>2446</v>
      </c>
      <c r="P39" s="44">
        <v>6116</v>
      </c>
      <c r="Q39" s="65">
        <v>0.82399999999999995</v>
      </c>
      <c r="R39" s="69">
        <v>1258.5999999999999</v>
      </c>
      <c r="S39" s="74">
        <v>3723</v>
      </c>
      <c r="T39" s="49">
        <v>308220</v>
      </c>
      <c r="U39" s="56">
        <v>4.9400000000000004</v>
      </c>
      <c r="V39" s="56">
        <v>5.68</v>
      </c>
      <c r="W39" s="1">
        <v>3.9</v>
      </c>
      <c r="X39" s="28">
        <v>2.2909999999999999</v>
      </c>
      <c r="Y39" s="60">
        <v>14.9</v>
      </c>
      <c r="Z39" s="1">
        <v>74</v>
      </c>
      <c r="AA39" s="60">
        <v>1</v>
      </c>
      <c r="AB39" s="1">
        <v>83</v>
      </c>
      <c r="AC39" s="1">
        <v>47</v>
      </c>
      <c r="AD39" s="1">
        <v>34</v>
      </c>
      <c r="AE39" s="36">
        <v>5</v>
      </c>
    </row>
    <row r="40" spans="1:31" x14ac:dyDescent="0.2">
      <c r="A40" s="1">
        <v>4</v>
      </c>
      <c r="B40" s="1" t="s">
        <v>42</v>
      </c>
      <c r="C40" s="28">
        <v>2.383</v>
      </c>
      <c r="D40" s="1">
        <v>19</v>
      </c>
      <c r="E40" s="1">
        <v>2</v>
      </c>
      <c r="F40" s="1">
        <v>2</v>
      </c>
      <c r="G40" s="11">
        <v>2.6960000000000002</v>
      </c>
      <c r="H40" s="12">
        <v>1.4984999999999999</v>
      </c>
      <c r="I40" s="13">
        <v>2.7195</v>
      </c>
      <c r="J40" s="18">
        <f t="shared" si="1"/>
        <v>2.2080262080262081</v>
      </c>
      <c r="K40" s="18">
        <f t="shared" si="0"/>
        <v>7.3425846401087629</v>
      </c>
      <c r="L40" s="33">
        <v>400</v>
      </c>
      <c r="M40" s="1">
        <v>2</v>
      </c>
      <c r="N40" s="38">
        <v>45442</v>
      </c>
      <c r="O40" s="44">
        <v>2504</v>
      </c>
      <c r="P40" s="44">
        <v>6267</v>
      </c>
      <c r="Q40" s="65">
        <v>0.79100000000000004</v>
      </c>
      <c r="R40" s="69">
        <v>1232.9000000000001</v>
      </c>
      <c r="S40" s="74">
        <v>3742</v>
      </c>
      <c r="T40" s="49">
        <v>451820</v>
      </c>
      <c r="U40" s="56">
        <v>4.9400000000000004</v>
      </c>
      <c r="V40" s="56">
        <v>5.68</v>
      </c>
      <c r="W40" s="1">
        <v>3.9</v>
      </c>
      <c r="X40" s="28">
        <v>2.2909999999999999</v>
      </c>
      <c r="Y40" s="60">
        <v>14.9</v>
      </c>
      <c r="Z40" s="1">
        <v>74</v>
      </c>
      <c r="AA40" s="60">
        <v>1</v>
      </c>
      <c r="AB40" s="1">
        <v>83</v>
      </c>
      <c r="AC40" s="1">
        <v>47</v>
      </c>
      <c r="AD40" s="1">
        <v>34</v>
      </c>
      <c r="AE40" s="36">
        <v>5</v>
      </c>
    </row>
    <row r="41" spans="1:31" x14ac:dyDescent="0.2">
      <c r="A41" s="1">
        <v>4</v>
      </c>
      <c r="B41" s="1" t="s">
        <v>42</v>
      </c>
      <c r="C41" s="28">
        <v>2.383</v>
      </c>
      <c r="D41" s="1">
        <v>19</v>
      </c>
      <c r="E41" s="1">
        <v>2</v>
      </c>
      <c r="F41" s="1">
        <v>3</v>
      </c>
      <c r="G41" s="11">
        <v>2.7685</v>
      </c>
      <c r="H41" s="12">
        <v>1.5415000000000001</v>
      </c>
      <c r="I41" s="13">
        <v>2.786</v>
      </c>
      <c r="J41" s="18">
        <f t="shared" si="1"/>
        <v>2.2245881880273202</v>
      </c>
      <c r="K41" s="18">
        <f t="shared" si="0"/>
        <v>6.6475791847536598</v>
      </c>
      <c r="L41" s="33"/>
      <c r="M41" s="1"/>
      <c r="N41" s="38"/>
      <c r="O41" s="44"/>
      <c r="P41" s="44"/>
      <c r="Q41" s="65"/>
      <c r="R41" s="69"/>
      <c r="S41" s="74"/>
      <c r="T41" s="49"/>
      <c r="U41" s="56">
        <v>4.9400000000000004</v>
      </c>
      <c r="V41" s="56">
        <v>5.68</v>
      </c>
      <c r="W41" s="1">
        <v>3.9</v>
      </c>
      <c r="X41" s="28">
        <v>2.2909999999999999</v>
      </c>
      <c r="Y41" s="60">
        <v>14.9</v>
      </c>
      <c r="Z41" s="1">
        <v>74</v>
      </c>
      <c r="AA41" s="60">
        <v>1</v>
      </c>
      <c r="AB41" s="1">
        <v>83</v>
      </c>
      <c r="AC41" s="1">
        <v>47</v>
      </c>
      <c r="AD41" s="1">
        <v>34</v>
      </c>
      <c r="AE41" s="36">
        <v>5</v>
      </c>
    </row>
    <row r="42" spans="1:31" ht="16" thickBot="1" x14ac:dyDescent="0.25">
      <c r="A42" s="1">
        <v>4</v>
      </c>
      <c r="B42" s="1" t="s">
        <v>42</v>
      </c>
      <c r="C42" s="29">
        <v>2.383</v>
      </c>
      <c r="D42" s="2">
        <v>19</v>
      </c>
      <c r="E42" s="2">
        <v>2</v>
      </c>
      <c r="F42" s="2">
        <v>4</v>
      </c>
      <c r="G42" s="16">
        <v>2.778</v>
      </c>
      <c r="H42" s="10">
        <v>1.5489999999999999</v>
      </c>
      <c r="I42" s="17">
        <v>2.7989999999999999</v>
      </c>
      <c r="J42" s="20">
        <f t="shared" si="1"/>
        <v>2.2223999999999999</v>
      </c>
      <c r="K42" s="20">
        <f t="shared" si="0"/>
        <v>6.7394041124632871</v>
      </c>
      <c r="L42" s="34"/>
      <c r="M42" s="2"/>
      <c r="N42" s="39"/>
      <c r="O42" s="46"/>
      <c r="P42" s="46"/>
      <c r="Q42" s="66"/>
      <c r="R42" s="70"/>
      <c r="S42" s="76"/>
      <c r="T42" s="50"/>
      <c r="U42" s="57">
        <v>4.9400000000000004</v>
      </c>
      <c r="V42" s="57">
        <v>5.68</v>
      </c>
      <c r="W42" s="2">
        <v>3.9</v>
      </c>
      <c r="X42" s="29">
        <v>2.2909999999999999</v>
      </c>
      <c r="Y42" s="61">
        <v>14.9</v>
      </c>
      <c r="Z42" s="2">
        <v>74</v>
      </c>
      <c r="AA42" s="61">
        <v>1</v>
      </c>
      <c r="AB42" s="2">
        <v>83</v>
      </c>
      <c r="AC42" s="2">
        <v>47</v>
      </c>
      <c r="AD42" s="2">
        <v>34</v>
      </c>
      <c r="AE42" s="4">
        <v>5</v>
      </c>
    </row>
    <row r="43" spans="1:31" x14ac:dyDescent="0.2">
      <c r="A43" s="1">
        <v>5</v>
      </c>
      <c r="B43" s="1" t="s">
        <v>43</v>
      </c>
      <c r="C43" s="28">
        <v>2.3940000000000001</v>
      </c>
      <c r="D43" s="1">
        <v>12.5</v>
      </c>
      <c r="E43" s="26">
        <v>1</v>
      </c>
      <c r="F43" s="26">
        <v>0</v>
      </c>
      <c r="G43" s="21">
        <v>24.489000000000001</v>
      </c>
      <c r="H43" s="22">
        <v>13.62</v>
      </c>
      <c r="I43" s="23">
        <v>24.653400000000001</v>
      </c>
      <c r="J43" s="24">
        <f t="shared" si="1"/>
        <v>2.2195334167165148</v>
      </c>
      <c r="K43" s="24">
        <f t="shared" si="0"/>
        <v>7.287660120446338</v>
      </c>
      <c r="L43" s="33">
        <v>0</v>
      </c>
      <c r="M43" s="1"/>
      <c r="N43" s="38"/>
      <c r="O43" s="44"/>
      <c r="P43" s="44"/>
      <c r="Q43" s="65"/>
      <c r="R43" s="69"/>
      <c r="S43" s="74"/>
      <c r="T43" s="49"/>
      <c r="U43" s="56">
        <v>4.8899999999999997</v>
      </c>
      <c r="V43" s="56">
        <v>6</v>
      </c>
      <c r="W43" s="1">
        <v>3.9</v>
      </c>
      <c r="X43" s="28">
        <v>2.2999999999999998</v>
      </c>
      <c r="Y43" s="60">
        <v>14.9</v>
      </c>
      <c r="Z43" s="1">
        <v>74</v>
      </c>
      <c r="AA43" s="60">
        <v>1.2</v>
      </c>
      <c r="AB43" s="1">
        <v>94</v>
      </c>
      <c r="AC43" s="1">
        <v>53</v>
      </c>
      <c r="AD43" s="1">
        <v>38</v>
      </c>
      <c r="AE43" s="36">
        <v>5.8</v>
      </c>
    </row>
    <row r="44" spans="1:31" x14ac:dyDescent="0.2">
      <c r="A44" s="1">
        <v>5</v>
      </c>
      <c r="B44" s="1" t="s">
        <v>43</v>
      </c>
      <c r="C44" s="28">
        <v>2.3940000000000001</v>
      </c>
      <c r="D44" s="1">
        <v>12.5</v>
      </c>
      <c r="E44" s="1">
        <v>1</v>
      </c>
      <c r="F44" s="1">
        <v>1</v>
      </c>
      <c r="G44" s="11">
        <v>2.7705000000000002</v>
      </c>
      <c r="H44" s="12">
        <v>1.5425</v>
      </c>
      <c r="I44" s="13">
        <v>2.7934999999999999</v>
      </c>
      <c r="J44" s="18">
        <f t="shared" si="1"/>
        <v>2.2146282973621108</v>
      </c>
      <c r="K44" s="18">
        <f t="shared" si="0"/>
        <v>7.4925523240555236</v>
      </c>
      <c r="L44" s="33">
        <v>600</v>
      </c>
      <c r="M44" s="1">
        <v>1</v>
      </c>
      <c r="N44" s="38">
        <v>45452</v>
      </c>
      <c r="O44" s="44">
        <v>2607</v>
      </c>
      <c r="P44" s="44">
        <v>4348</v>
      </c>
      <c r="Q44" s="65">
        <v>1.8839999999999999</v>
      </c>
      <c r="R44" s="69">
        <v>1356.2</v>
      </c>
      <c r="S44" s="74">
        <v>2846</v>
      </c>
      <c r="T44" s="49">
        <v>33550</v>
      </c>
      <c r="U44" s="56">
        <v>4.8899999999999997</v>
      </c>
      <c r="V44" s="56">
        <v>6</v>
      </c>
      <c r="W44" s="1">
        <v>3.9</v>
      </c>
      <c r="X44" s="28">
        <v>2.2999999999999998</v>
      </c>
      <c r="Y44" s="60">
        <v>14.9</v>
      </c>
      <c r="Z44" s="1">
        <v>74</v>
      </c>
      <c r="AA44" s="60">
        <v>1.2</v>
      </c>
      <c r="AB44" s="1">
        <v>94</v>
      </c>
      <c r="AC44" s="1">
        <v>53</v>
      </c>
      <c r="AD44" s="1">
        <v>38</v>
      </c>
      <c r="AE44" s="36">
        <v>5.8</v>
      </c>
    </row>
    <row r="45" spans="1:31" x14ac:dyDescent="0.2">
      <c r="A45" s="1">
        <v>5</v>
      </c>
      <c r="B45" s="1" t="s">
        <v>43</v>
      </c>
      <c r="C45" s="28">
        <v>2.3940000000000001</v>
      </c>
      <c r="D45" s="1">
        <v>12.5</v>
      </c>
      <c r="E45" s="1">
        <v>1</v>
      </c>
      <c r="F45" s="1">
        <v>2</v>
      </c>
      <c r="G45" s="11">
        <v>2.6945000000000001</v>
      </c>
      <c r="H45" s="12">
        <v>1.496</v>
      </c>
      <c r="I45" s="13">
        <v>2.7094999999999998</v>
      </c>
      <c r="J45" s="18">
        <f t="shared" si="1"/>
        <v>2.2204367531932432</v>
      </c>
      <c r="K45" s="18">
        <f t="shared" si="0"/>
        <v>7.2499267671995327</v>
      </c>
      <c r="L45" s="33">
        <v>600</v>
      </c>
      <c r="M45" s="1">
        <v>2</v>
      </c>
      <c r="N45" s="38">
        <v>45452</v>
      </c>
      <c r="O45" s="44">
        <v>3207</v>
      </c>
      <c r="P45" s="44">
        <v>5334</v>
      </c>
      <c r="Q45" s="65">
        <v>2.0059999999999998</v>
      </c>
      <c r="R45" s="69">
        <v>1544.2</v>
      </c>
      <c r="S45" s="74">
        <v>3033</v>
      </c>
      <c r="T45" s="49">
        <v>32230</v>
      </c>
      <c r="U45" s="56">
        <v>4.8899999999999997</v>
      </c>
      <c r="V45" s="56">
        <v>6</v>
      </c>
      <c r="W45" s="1">
        <v>3.9</v>
      </c>
      <c r="X45" s="28">
        <v>2.2999999999999998</v>
      </c>
      <c r="Y45" s="60">
        <v>14.9</v>
      </c>
      <c r="Z45" s="1">
        <v>74</v>
      </c>
      <c r="AA45" s="60">
        <v>1.2</v>
      </c>
      <c r="AB45" s="1">
        <v>94</v>
      </c>
      <c r="AC45" s="1">
        <v>53</v>
      </c>
      <c r="AD45" s="1">
        <v>38</v>
      </c>
      <c r="AE45" s="36">
        <v>5.8</v>
      </c>
    </row>
    <row r="46" spans="1:31" x14ac:dyDescent="0.2">
      <c r="A46" s="1">
        <v>5</v>
      </c>
      <c r="B46" s="1" t="s">
        <v>43</v>
      </c>
      <c r="C46" s="28">
        <v>2.3940000000000001</v>
      </c>
      <c r="D46" s="1">
        <v>12.5</v>
      </c>
      <c r="E46" s="1">
        <v>1</v>
      </c>
      <c r="F46" s="1">
        <v>3</v>
      </c>
      <c r="G46" s="11">
        <v>2.7825000000000002</v>
      </c>
      <c r="H46" s="12">
        <v>1.554</v>
      </c>
      <c r="I46" s="13">
        <v>2.8090000000000002</v>
      </c>
      <c r="J46" s="18">
        <f t="shared" si="1"/>
        <v>2.2171314741035855</v>
      </c>
      <c r="K46" s="18">
        <f t="shared" si="0"/>
        <v>7.3879918920808141</v>
      </c>
      <c r="L46" s="33">
        <v>600</v>
      </c>
      <c r="M46" s="1">
        <v>3</v>
      </c>
      <c r="N46" s="38">
        <v>45452</v>
      </c>
      <c r="O46" s="44">
        <v>2818</v>
      </c>
      <c r="P46" s="44">
        <v>4697</v>
      </c>
      <c r="Q46" s="65">
        <v>1.8740000000000001</v>
      </c>
      <c r="R46" s="69">
        <v>1441.3</v>
      </c>
      <c r="S46" s="74">
        <v>1407</v>
      </c>
      <c r="T46" s="49">
        <v>5500</v>
      </c>
      <c r="U46" s="56">
        <v>4.8899999999999997</v>
      </c>
      <c r="V46" s="56">
        <v>6</v>
      </c>
      <c r="W46" s="1">
        <v>3.9</v>
      </c>
      <c r="X46" s="28">
        <v>2.2999999999999998</v>
      </c>
      <c r="Y46" s="60">
        <v>14.9</v>
      </c>
      <c r="Z46" s="1">
        <v>74</v>
      </c>
      <c r="AA46" s="60">
        <v>1.2</v>
      </c>
      <c r="AB46" s="1">
        <v>94</v>
      </c>
      <c r="AC46" s="1">
        <v>53</v>
      </c>
      <c r="AD46" s="1">
        <v>38</v>
      </c>
      <c r="AE46" s="36">
        <v>5.8</v>
      </c>
    </row>
    <row r="47" spans="1:31" x14ac:dyDescent="0.2">
      <c r="A47" s="1">
        <v>5</v>
      </c>
      <c r="B47" s="1" t="s">
        <v>43</v>
      </c>
      <c r="C47" s="28">
        <v>2.3940000000000001</v>
      </c>
      <c r="D47" s="1">
        <v>12.5</v>
      </c>
      <c r="E47" s="5">
        <v>1</v>
      </c>
      <c r="F47" s="5">
        <v>4</v>
      </c>
      <c r="G47" s="14">
        <v>2.6974999999999998</v>
      </c>
      <c r="H47" s="9">
        <v>1.5085</v>
      </c>
      <c r="I47" s="15">
        <v>2.7240000000000002</v>
      </c>
      <c r="J47" s="19">
        <f t="shared" si="1"/>
        <v>2.2192513368983953</v>
      </c>
      <c r="K47" s="19">
        <f t="shared" si="0"/>
        <v>7.2994429031580932</v>
      </c>
      <c r="L47" s="41">
        <v>600</v>
      </c>
      <c r="M47" s="5">
        <v>4</v>
      </c>
      <c r="N47" s="42">
        <v>45452</v>
      </c>
      <c r="O47" s="47">
        <v>3126</v>
      </c>
      <c r="P47" s="47">
        <v>5203</v>
      </c>
      <c r="Q47" s="67">
        <v>1.915</v>
      </c>
      <c r="R47" s="71">
        <v>1481.3</v>
      </c>
      <c r="S47" s="75">
        <v>1561</v>
      </c>
      <c r="T47" s="51">
        <v>46250</v>
      </c>
      <c r="U47" s="58">
        <v>4.8899999999999997</v>
      </c>
      <c r="V47" s="58">
        <v>6</v>
      </c>
      <c r="W47" s="5">
        <v>3.9</v>
      </c>
      <c r="X47" s="53">
        <v>2.2999999999999998</v>
      </c>
      <c r="Y47" s="62">
        <v>14.9</v>
      </c>
      <c r="Z47" s="5">
        <v>74</v>
      </c>
      <c r="AA47" s="62">
        <v>1.2</v>
      </c>
      <c r="AB47" s="5">
        <v>94</v>
      </c>
      <c r="AC47" s="5">
        <v>53</v>
      </c>
      <c r="AD47" s="5">
        <v>38</v>
      </c>
      <c r="AE47" s="43">
        <v>5.8</v>
      </c>
    </row>
    <row r="48" spans="1:31" x14ac:dyDescent="0.2">
      <c r="A48" s="1">
        <v>5</v>
      </c>
      <c r="B48" s="1" t="s">
        <v>44</v>
      </c>
      <c r="C48" s="28">
        <v>2.3940000000000001</v>
      </c>
      <c r="D48" s="1">
        <v>12.5</v>
      </c>
      <c r="E48" s="26">
        <v>2</v>
      </c>
      <c r="F48" s="26">
        <v>0</v>
      </c>
      <c r="G48" s="21">
        <v>24.1282</v>
      </c>
      <c r="H48" s="22">
        <v>13.532</v>
      </c>
      <c r="I48" s="23">
        <v>24.425000000000001</v>
      </c>
      <c r="J48" s="24">
        <f t="shared" si="1"/>
        <v>2.2150188194253189</v>
      </c>
      <c r="K48" s="24">
        <f t="shared" si="0"/>
        <v>7.476239790086936</v>
      </c>
      <c r="L48" s="33">
        <v>0</v>
      </c>
      <c r="M48" s="1"/>
      <c r="N48" s="38"/>
      <c r="O48" s="44"/>
      <c r="P48" s="44"/>
      <c r="Q48" s="65"/>
      <c r="R48" s="69"/>
      <c r="S48" s="74"/>
      <c r="T48" s="49"/>
      <c r="U48" s="56">
        <v>4.8899999999999997</v>
      </c>
      <c r="V48" s="56">
        <v>6</v>
      </c>
      <c r="W48" s="1">
        <v>3.9</v>
      </c>
      <c r="X48" s="28">
        <v>2.2999999999999998</v>
      </c>
      <c r="Y48" s="60">
        <v>14.9</v>
      </c>
      <c r="Z48" s="1">
        <v>74</v>
      </c>
      <c r="AA48" s="60">
        <v>1.2</v>
      </c>
      <c r="AB48" s="1">
        <v>94</v>
      </c>
      <c r="AC48" s="1">
        <v>53</v>
      </c>
      <c r="AD48" s="1">
        <v>38</v>
      </c>
      <c r="AE48" s="36">
        <v>5.8</v>
      </c>
    </row>
    <row r="49" spans="1:31" x14ac:dyDescent="0.2">
      <c r="A49" s="1">
        <v>5</v>
      </c>
      <c r="B49" s="1" t="s">
        <v>44</v>
      </c>
      <c r="C49" s="28">
        <v>2.3940000000000001</v>
      </c>
      <c r="D49" s="1">
        <v>12.5</v>
      </c>
      <c r="E49" s="1">
        <v>2</v>
      </c>
      <c r="F49" s="1">
        <v>1</v>
      </c>
      <c r="G49" s="11">
        <v>2.8454999999999999</v>
      </c>
      <c r="H49" s="12">
        <v>1.5874999999999999</v>
      </c>
      <c r="I49" s="13">
        <v>2.8654999999999999</v>
      </c>
      <c r="J49" s="18">
        <f t="shared" si="1"/>
        <v>2.226525821596244</v>
      </c>
      <c r="K49" s="18">
        <f t="shared" si="0"/>
        <v>6.9955797161134541</v>
      </c>
      <c r="L49" s="33">
        <v>400</v>
      </c>
      <c r="M49" s="1">
        <v>1</v>
      </c>
      <c r="N49" s="38">
        <v>45452</v>
      </c>
      <c r="O49" s="44">
        <v>2291</v>
      </c>
      <c r="P49" s="44">
        <v>5719</v>
      </c>
      <c r="Q49" s="65">
        <v>0.83899999999999997</v>
      </c>
      <c r="R49" s="69">
        <v>1168.4000000000001</v>
      </c>
      <c r="S49" s="74">
        <v>3163</v>
      </c>
      <c r="T49" s="49">
        <v>694350</v>
      </c>
      <c r="U49" s="56">
        <v>4.8899999999999997</v>
      </c>
      <c r="V49" s="56">
        <v>6</v>
      </c>
      <c r="W49" s="1">
        <v>3.9</v>
      </c>
      <c r="X49" s="28">
        <v>2.2999999999999998</v>
      </c>
      <c r="Y49" s="60">
        <v>14.9</v>
      </c>
      <c r="Z49" s="1">
        <v>74</v>
      </c>
      <c r="AA49" s="60">
        <v>1.2</v>
      </c>
      <c r="AB49" s="1">
        <v>94</v>
      </c>
      <c r="AC49" s="1">
        <v>53</v>
      </c>
      <c r="AD49" s="1">
        <v>38</v>
      </c>
      <c r="AE49" s="36">
        <v>5.8</v>
      </c>
    </row>
    <row r="50" spans="1:31" x14ac:dyDescent="0.2">
      <c r="A50" s="1">
        <v>5</v>
      </c>
      <c r="B50" s="1" t="s">
        <v>44</v>
      </c>
      <c r="C50" s="28">
        <v>2.3940000000000001</v>
      </c>
      <c r="D50" s="1">
        <v>12.5</v>
      </c>
      <c r="E50" s="1">
        <v>2</v>
      </c>
      <c r="F50" s="1">
        <v>2</v>
      </c>
      <c r="G50" s="11">
        <v>2.8285</v>
      </c>
      <c r="H50" s="12">
        <v>1.5765</v>
      </c>
      <c r="I50" s="13">
        <v>2.8530000000000002</v>
      </c>
      <c r="J50" s="18">
        <f t="shared" si="1"/>
        <v>2.2158245201723461</v>
      </c>
      <c r="K50" s="18">
        <f t="shared" si="0"/>
        <v>7.4425847881225522</v>
      </c>
      <c r="L50" s="33">
        <v>400</v>
      </c>
      <c r="M50" s="1">
        <v>2</v>
      </c>
      <c r="N50" s="38">
        <v>45453</v>
      </c>
      <c r="O50" s="44">
        <v>2383</v>
      </c>
      <c r="P50" s="44">
        <v>5958</v>
      </c>
      <c r="Q50" s="65">
        <v>0.84399999999999997</v>
      </c>
      <c r="R50" s="69">
        <v>1204.5</v>
      </c>
      <c r="S50" s="74">
        <v>1780</v>
      </c>
      <c r="T50" s="49">
        <v>675000</v>
      </c>
      <c r="U50" s="56">
        <v>4.8899999999999997</v>
      </c>
      <c r="V50" s="56">
        <v>6</v>
      </c>
      <c r="W50" s="1">
        <v>3.9</v>
      </c>
      <c r="X50" s="28">
        <v>2.2999999999999998</v>
      </c>
      <c r="Y50" s="60">
        <v>14.9</v>
      </c>
      <c r="Z50" s="1">
        <v>74</v>
      </c>
      <c r="AA50" s="60">
        <v>1.2</v>
      </c>
      <c r="AB50" s="1">
        <v>94</v>
      </c>
      <c r="AC50" s="1">
        <v>53</v>
      </c>
      <c r="AD50" s="1">
        <v>38</v>
      </c>
      <c r="AE50" s="36">
        <v>5.8</v>
      </c>
    </row>
    <row r="51" spans="1:31" x14ac:dyDescent="0.2">
      <c r="A51" s="1">
        <v>5</v>
      </c>
      <c r="B51" s="1" t="s">
        <v>44</v>
      </c>
      <c r="C51" s="28">
        <v>2.3940000000000001</v>
      </c>
      <c r="D51" s="1">
        <v>12.5</v>
      </c>
      <c r="E51" s="1">
        <v>2</v>
      </c>
      <c r="F51" s="1">
        <v>3</v>
      </c>
      <c r="G51" s="11">
        <v>2.8479999999999999</v>
      </c>
      <c r="H51" s="12">
        <v>1.5940000000000001</v>
      </c>
      <c r="I51" s="13">
        <v>2.87</v>
      </c>
      <c r="J51" s="18">
        <f t="shared" si="1"/>
        <v>2.2319749216300937</v>
      </c>
      <c r="K51" s="18">
        <f t="shared" si="0"/>
        <v>6.767964844189911</v>
      </c>
      <c r="L51" s="33">
        <v>400</v>
      </c>
      <c r="M51" s="1">
        <v>3</v>
      </c>
      <c r="N51" s="38">
        <v>45454</v>
      </c>
      <c r="O51" s="44">
        <v>2540</v>
      </c>
      <c r="P51" s="44">
        <v>6314</v>
      </c>
      <c r="Q51" s="65">
        <v>0.92500000000000004</v>
      </c>
      <c r="R51" s="69">
        <v>1275.4000000000001</v>
      </c>
      <c r="S51" s="74">
        <v>2769</v>
      </c>
      <c r="T51" s="49">
        <v>185000</v>
      </c>
      <c r="U51" s="56">
        <v>4.8899999999999997</v>
      </c>
      <c r="V51" s="56">
        <v>6</v>
      </c>
      <c r="W51" s="1">
        <v>3.9</v>
      </c>
      <c r="X51" s="28">
        <v>2.2999999999999998</v>
      </c>
      <c r="Y51" s="60">
        <v>14.9</v>
      </c>
      <c r="Z51" s="1">
        <v>74</v>
      </c>
      <c r="AA51" s="60">
        <v>1.2</v>
      </c>
      <c r="AB51" s="1">
        <v>94</v>
      </c>
      <c r="AC51" s="1">
        <v>53</v>
      </c>
      <c r="AD51" s="1">
        <v>38</v>
      </c>
      <c r="AE51" s="36">
        <v>5.8</v>
      </c>
    </row>
    <row r="52" spans="1:31" ht="16" thickBot="1" x14ac:dyDescent="0.25">
      <c r="A52" s="1">
        <v>5</v>
      </c>
      <c r="B52" s="1" t="s">
        <v>44</v>
      </c>
      <c r="C52" s="29">
        <v>2.3940000000000001</v>
      </c>
      <c r="D52" s="2">
        <v>12.5</v>
      </c>
      <c r="E52" s="2">
        <v>2</v>
      </c>
      <c r="F52" s="2">
        <v>4</v>
      </c>
      <c r="G52" s="16">
        <v>2.8</v>
      </c>
      <c r="H52" s="10">
        <v>1.5615000000000001</v>
      </c>
      <c r="I52" s="17">
        <v>2.82</v>
      </c>
      <c r="J52" s="20">
        <f t="shared" si="1"/>
        <v>2.2248708780294004</v>
      </c>
      <c r="K52" s="20">
        <f t="shared" si="0"/>
        <v>7.0647085200751807</v>
      </c>
      <c r="L52" s="34">
        <v>400</v>
      </c>
      <c r="M52" s="2">
        <v>4</v>
      </c>
      <c r="N52" s="39">
        <v>45454</v>
      </c>
      <c r="O52" s="46">
        <v>2469</v>
      </c>
      <c r="P52" s="46">
        <v>6173</v>
      </c>
      <c r="Q52" s="66">
        <v>0.877</v>
      </c>
      <c r="R52" s="70">
        <v>1200.5999999999999</v>
      </c>
      <c r="S52" s="76">
        <v>1851</v>
      </c>
      <c r="T52" s="50">
        <v>450000</v>
      </c>
      <c r="U52" s="57">
        <v>4.8899999999999997</v>
      </c>
      <c r="V52" s="57">
        <v>6</v>
      </c>
      <c r="W52" s="2">
        <v>3.9</v>
      </c>
      <c r="X52" s="29">
        <v>2.2999999999999998</v>
      </c>
      <c r="Y52" s="61">
        <v>14.9</v>
      </c>
      <c r="Z52" s="2">
        <v>74</v>
      </c>
      <c r="AA52" s="61">
        <v>1.2</v>
      </c>
      <c r="AB52" s="2">
        <v>94</v>
      </c>
      <c r="AC52" s="2">
        <v>53</v>
      </c>
      <c r="AD52" s="2">
        <v>38</v>
      </c>
      <c r="AE52" s="4">
        <v>5.8</v>
      </c>
    </row>
    <row r="53" spans="1:31" x14ac:dyDescent="0.2">
      <c r="A53" s="1">
        <v>6</v>
      </c>
      <c r="B53" s="1" t="s">
        <v>45</v>
      </c>
      <c r="C53" s="28">
        <v>2.39</v>
      </c>
      <c r="D53" s="1">
        <v>19</v>
      </c>
      <c r="E53" s="26">
        <v>1</v>
      </c>
      <c r="F53" s="26">
        <v>0</v>
      </c>
      <c r="G53" s="21">
        <v>24.475999999999999</v>
      </c>
      <c r="H53" s="22">
        <v>13.62</v>
      </c>
      <c r="I53" s="23">
        <v>24.7075</v>
      </c>
      <c r="J53" s="24">
        <f t="shared" si="1"/>
        <v>2.2075310033821869</v>
      </c>
      <c r="K53" s="24">
        <f t="shared" si="0"/>
        <v>7.6346860509545316</v>
      </c>
      <c r="L53" s="33">
        <v>0</v>
      </c>
      <c r="M53" s="1"/>
      <c r="N53" s="38"/>
      <c r="O53" s="44"/>
      <c r="P53" s="44"/>
      <c r="Q53" s="65"/>
      <c r="R53" s="69"/>
      <c r="S53" s="74"/>
      <c r="T53" s="49"/>
      <c r="U53" s="56">
        <v>4.9400000000000004</v>
      </c>
      <c r="V53" s="56">
        <v>5.96</v>
      </c>
      <c r="W53" s="1">
        <v>3.5</v>
      </c>
      <c r="X53" s="28">
        <v>2.3069999999999999</v>
      </c>
      <c r="Y53" s="60">
        <v>14.6</v>
      </c>
      <c r="Z53" s="1">
        <v>76</v>
      </c>
      <c r="AA53" s="60">
        <v>1.1000000000000001</v>
      </c>
      <c r="AB53" s="1">
        <v>87</v>
      </c>
      <c r="AC53" s="1">
        <v>47</v>
      </c>
      <c r="AD53" s="1">
        <v>33</v>
      </c>
      <c r="AE53" s="36">
        <v>5.4</v>
      </c>
    </row>
    <row r="54" spans="1:31" x14ac:dyDescent="0.2">
      <c r="A54" s="1">
        <v>6</v>
      </c>
      <c r="B54" s="1" t="s">
        <v>45</v>
      </c>
      <c r="C54" s="28">
        <v>2.39</v>
      </c>
      <c r="D54" s="1">
        <v>19</v>
      </c>
      <c r="E54" s="1">
        <v>1</v>
      </c>
      <c r="F54" s="1">
        <v>1</v>
      </c>
      <c r="G54" s="11">
        <v>2.7555000000000001</v>
      </c>
      <c r="H54" s="12">
        <v>1.5385</v>
      </c>
      <c r="I54" s="13">
        <v>2.7685</v>
      </c>
      <c r="J54" s="18">
        <f t="shared" si="1"/>
        <v>2.2402439024390244</v>
      </c>
      <c r="K54" s="18">
        <f t="shared" si="0"/>
        <v>6.2659455046433337</v>
      </c>
      <c r="L54" s="33">
        <v>600</v>
      </c>
      <c r="M54" s="1">
        <v>1</v>
      </c>
      <c r="N54" s="38">
        <v>45455</v>
      </c>
      <c r="O54" s="44">
        <v>0</v>
      </c>
      <c r="P54" s="44">
        <v>0</v>
      </c>
      <c r="Q54" s="65">
        <v>0</v>
      </c>
      <c r="R54" s="69">
        <v>66.599999999999994</v>
      </c>
      <c r="S54" s="74">
        <v>0</v>
      </c>
      <c r="T54" s="49">
        <v>36790</v>
      </c>
      <c r="U54" s="56">
        <v>4.9400000000000004</v>
      </c>
      <c r="V54" s="56">
        <v>5.96</v>
      </c>
      <c r="W54" s="1">
        <v>3.5</v>
      </c>
      <c r="X54" s="28">
        <v>2.3069999999999999</v>
      </c>
      <c r="Y54" s="60">
        <v>14.6</v>
      </c>
      <c r="Z54" s="1">
        <v>76</v>
      </c>
      <c r="AA54" s="60">
        <v>1.1000000000000001</v>
      </c>
      <c r="AB54" s="1">
        <v>87</v>
      </c>
      <c r="AC54" s="1">
        <v>47</v>
      </c>
      <c r="AD54" s="1">
        <v>33</v>
      </c>
      <c r="AE54" s="36">
        <v>5.4</v>
      </c>
    </row>
    <row r="55" spans="1:31" x14ac:dyDescent="0.2">
      <c r="A55" s="1">
        <v>6</v>
      </c>
      <c r="B55" s="1" t="s">
        <v>45</v>
      </c>
      <c r="C55" s="28">
        <v>2.39</v>
      </c>
      <c r="D55" s="1">
        <v>19</v>
      </c>
      <c r="E55" s="1">
        <v>1</v>
      </c>
      <c r="F55" s="1">
        <v>2</v>
      </c>
      <c r="G55" s="11">
        <v>2.7845</v>
      </c>
      <c r="H55" s="12">
        <v>1.5515000000000001</v>
      </c>
      <c r="I55" s="13">
        <v>2.7959999999999998</v>
      </c>
      <c r="J55" s="18">
        <f t="shared" si="1"/>
        <v>2.2374447569304947</v>
      </c>
      <c r="K55" s="18">
        <f t="shared" si="0"/>
        <v>6.3830645635776335</v>
      </c>
      <c r="L55" s="33">
        <v>600</v>
      </c>
      <c r="M55" s="1">
        <v>2</v>
      </c>
      <c r="N55" s="38">
        <v>45455</v>
      </c>
      <c r="O55" s="44">
        <v>3160</v>
      </c>
      <c r="P55" s="44">
        <v>5272</v>
      </c>
      <c r="Q55" s="65">
        <v>1.847</v>
      </c>
      <c r="R55" s="69">
        <v>1719.5</v>
      </c>
      <c r="S55" s="74">
        <v>3127</v>
      </c>
      <c r="T55" s="49">
        <v>38550</v>
      </c>
      <c r="U55" s="56">
        <v>4.9400000000000004</v>
      </c>
      <c r="V55" s="56">
        <v>5.96</v>
      </c>
      <c r="W55" s="1">
        <v>3.5</v>
      </c>
      <c r="X55" s="28">
        <v>2.3069999999999999</v>
      </c>
      <c r="Y55" s="60">
        <v>14.6</v>
      </c>
      <c r="Z55" s="1">
        <v>76</v>
      </c>
      <c r="AA55" s="60">
        <v>1.1000000000000001</v>
      </c>
      <c r="AB55" s="1">
        <v>87</v>
      </c>
      <c r="AC55" s="1">
        <v>47</v>
      </c>
      <c r="AD55" s="1">
        <v>33</v>
      </c>
      <c r="AE55" s="36">
        <v>5.4</v>
      </c>
    </row>
    <row r="56" spans="1:31" x14ac:dyDescent="0.2">
      <c r="A56" s="1">
        <v>6</v>
      </c>
      <c r="B56" s="1" t="s">
        <v>45</v>
      </c>
      <c r="C56" s="28">
        <v>2.39</v>
      </c>
      <c r="D56" s="1">
        <v>19</v>
      </c>
      <c r="E56" s="1">
        <v>1</v>
      </c>
      <c r="F56" s="1">
        <v>3</v>
      </c>
      <c r="G56" s="11">
        <v>2.7839999999999998</v>
      </c>
      <c r="H56" s="12">
        <v>1.554</v>
      </c>
      <c r="I56" s="13">
        <v>2.7985000000000002</v>
      </c>
      <c r="J56" s="18">
        <f t="shared" si="1"/>
        <v>2.2370429891522696</v>
      </c>
      <c r="K56" s="18">
        <f t="shared" si="0"/>
        <v>6.399874930867389</v>
      </c>
      <c r="L56" s="33">
        <v>600</v>
      </c>
      <c r="M56" s="1">
        <v>3</v>
      </c>
      <c r="N56" s="38">
        <v>45455</v>
      </c>
      <c r="O56" s="44">
        <v>3447</v>
      </c>
      <c r="P56" s="44">
        <v>5750</v>
      </c>
      <c r="Q56" s="65">
        <v>2.1</v>
      </c>
      <c r="R56" s="69">
        <v>1757.4</v>
      </c>
      <c r="S56" s="74">
        <v>3277</v>
      </c>
      <c r="T56" s="49">
        <v>32500</v>
      </c>
      <c r="U56" s="56">
        <v>4.9400000000000004</v>
      </c>
      <c r="V56" s="56">
        <v>5.96</v>
      </c>
      <c r="W56" s="1">
        <v>3.5</v>
      </c>
      <c r="X56" s="28">
        <v>2.3069999999999999</v>
      </c>
      <c r="Y56" s="60">
        <v>14.6</v>
      </c>
      <c r="Z56" s="1">
        <v>76</v>
      </c>
      <c r="AA56" s="60">
        <v>1.1000000000000001</v>
      </c>
      <c r="AB56" s="1">
        <v>87</v>
      </c>
      <c r="AC56" s="1">
        <v>47</v>
      </c>
      <c r="AD56" s="1">
        <v>33</v>
      </c>
      <c r="AE56" s="36">
        <v>5.4</v>
      </c>
    </row>
    <row r="57" spans="1:31" x14ac:dyDescent="0.2">
      <c r="A57" s="1">
        <v>6</v>
      </c>
      <c r="B57" s="1" t="s">
        <v>45</v>
      </c>
      <c r="C57" s="28">
        <v>2.39</v>
      </c>
      <c r="D57" s="1">
        <v>19</v>
      </c>
      <c r="E57" s="5">
        <v>1</v>
      </c>
      <c r="F57" s="5">
        <v>4</v>
      </c>
      <c r="G57" s="14">
        <v>2.7610000000000001</v>
      </c>
      <c r="H57" s="9">
        <v>1.5369999999999999</v>
      </c>
      <c r="I57" s="15">
        <v>2.7715000000000001</v>
      </c>
      <c r="J57" s="19">
        <f t="shared" si="1"/>
        <v>2.236533009315512</v>
      </c>
      <c r="K57" s="19">
        <f t="shared" si="0"/>
        <v>6.421212999350967</v>
      </c>
      <c r="L57" s="41">
        <v>600</v>
      </c>
      <c r="M57" s="5">
        <v>4</v>
      </c>
      <c r="N57" s="42">
        <v>45455</v>
      </c>
      <c r="O57" s="47">
        <v>2323</v>
      </c>
      <c r="P57" s="47">
        <v>3879</v>
      </c>
      <c r="Q57" s="67">
        <v>1.625</v>
      </c>
      <c r="R57" s="71">
        <v>1260</v>
      </c>
      <c r="S57" s="75">
        <v>1169</v>
      </c>
      <c r="T57" s="51">
        <f>35000+(5000*3/4)</f>
        <v>38750</v>
      </c>
      <c r="U57" s="58">
        <v>4.9400000000000004</v>
      </c>
      <c r="V57" s="58">
        <v>5.96</v>
      </c>
      <c r="W57" s="5">
        <v>3.5</v>
      </c>
      <c r="X57" s="53">
        <v>2.3069999999999999</v>
      </c>
      <c r="Y57" s="62">
        <v>14.6</v>
      </c>
      <c r="Z57" s="5">
        <v>76</v>
      </c>
      <c r="AA57" s="62">
        <v>1.1000000000000001</v>
      </c>
      <c r="AB57" s="5">
        <v>87</v>
      </c>
      <c r="AC57" s="5">
        <v>47</v>
      </c>
      <c r="AD57" s="5">
        <v>33</v>
      </c>
      <c r="AE57" s="43">
        <v>5.4</v>
      </c>
    </row>
    <row r="58" spans="1:31" x14ac:dyDescent="0.2">
      <c r="A58" s="1">
        <v>6</v>
      </c>
      <c r="B58" s="1" t="s">
        <v>46</v>
      </c>
      <c r="C58" s="28">
        <v>2.39</v>
      </c>
      <c r="D58" s="1">
        <v>19</v>
      </c>
      <c r="E58" s="26">
        <v>2</v>
      </c>
      <c r="F58" s="26">
        <v>0</v>
      </c>
      <c r="G58" s="21">
        <v>24.117000000000001</v>
      </c>
      <c r="H58" s="22">
        <v>13.532</v>
      </c>
      <c r="I58" s="23">
        <v>24.414999999999999</v>
      </c>
      <c r="J58" s="24">
        <f t="shared" si="1"/>
        <v>2.2160249931085181</v>
      </c>
      <c r="K58" s="24">
        <f t="shared" si="0"/>
        <v>7.2792889912754006</v>
      </c>
      <c r="L58" s="33">
        <v>0</v>
      </c>
      <c r="M58" s="1"/>
      <c r="N58" s="38"/>
      <c r="O58" s="44"/>
      <c r="P58" s="44"/>
      <c r="Q58" s="65"/>
      <c r="R58" s="69"/>
      <c r="S58" s="74"/>
      <c r="T58" s="49"/>
      <c r="U58" s="56">
        <v>4.9400000000000004</v>
      </c>
      <c r="V58" s="56">
        <v>5.96</v>
      </c>
      <c r="W58" s="1">
        <v>3.5</v>
      </c>
      <c r="X58" s="28">
        <v>2.3069999999999999</v>
      </c>
      <c r="Y58" s="60">
        <v>14.6</v>
      </c>
      <c r="Z58" s="1">
        <v>76</v>
      </c>
      <c r="AA58" s="60">
        <v>1.1000000000000001</v>
      </c>
      <c r="AB58" s="1">
        <v>87</v>
      </c>
      <c r="AC58" s="1">
        <v>47</v>
      </c>
      <c r="AD58" s="1">
        <v>33</v>
      </c>
      <c r="AE58" s="36">
        <v>5.4</v>
      </c>
    </row>
    <row r="59" spans="1:31" x14ac:dyDescent="0.2">
      <c r="A59" s="1">
        <v>6</v>
      </c>
      <c r="B59" s="1" t="s">
        <v>46</v>
      </c>
      <c r="C59" s="28">
        <v>2.39</v>
      </c>
      <c r="D59" s="1">
        <v>19</v>
      </c>
      <c r="E59" s="1">
        <v>2</v>
      </c>
      <c r="F59" s="1">
        <v>1</v>
      </c>
      <c r="G59" s="11">
        <v>2.7825000000000002</v>
      </c>
      <c r="H59" s="12">
        <v>1.5535000000000001</v>
      </c>
      <c r="I59" s="13">
        <v>2.7934999999999999</v>
      </c>
      <c r="J59" s="18">
        <f t="shared" si="1"/>
        <v>2.2439516129032264</v>
      </c>
      <c r="K59" s="18">
        <f t="shared" si="0"/>
        <v>6.110811175597231</v>
      </c>
      <c r="L59" s="33">
        <v>400</v>
      </c>
      <c r="M59" s="1">
        <v>1</v>
      </c>
      <c r="N59" s="38">
        <v>45455</v>
      </c>
      <c r="O59" s="44">
        <v>2406</v>
      </c>
      <c r="P59" s="44">
        <v>6023</v>
      </c>
      <c r="Q59" s="65">
        <v>0.93</v>
      </c>
      <c r="R59" s="69">
        <v>1196.9000000000001</v>
      </c>
      <c r="S59" s="74">
        <v>3637</v>
      </c>
      <c r="T59" s="49">
        <v>600840</v>
      </c>
      <c r="U59" s="56">
        <v>4.9400000000000004</v>
      </c>
      <c r="V59" s="56">
        <v>5.96</v>
      </c>
      <c r="W59" s="1">
        <v>3.5</v>
      </c>
      <c r="X59" s="28">
        <v>2.3069999999999999</v>
      </c>
      <c r="Y59" s="60">
        <v>14.6</v>
      </c>
      <c r="Z59" s="1">
        <v>76</v>
      </c>
      <c r="AA59" s="60">
        <v>1.1000000000000001</v>
      </c>
      <c r="AB59" s="1">
        <v>87</v>
      </c>
      <c r="AC59" s="1">
        <v>47</v>
      </c>
      <c r="AD59" s="1">
        <v>33</v>
      </c>
      <c r="AE59" s="36">
        <v>5.4</v>
      </c>
    </row>
    <row r="60" spans="1:31" x14ac:dyDescent="0.2">
      <c r="A60" s="1">
        <v>6</v>
      </c>
      <c r="B60" s="1" t="s">
        <v>46</v>
      </c>
      <c r="C60" s="28">
        <v>2.39</v>
      </c>
      <c r="D60" s="1">
        <v>19</v>
      </c>
      <c r="E60" s="1">
        <v>2</v>
      </c>
      <c r="F60" s="1">
        <v>2</v>
      </c>
      <c r="G60" s="11">
        <v>2.5695000000000001</v>
      </c>
      <c r="H60" s="12">
        <v>1.4259999999999999</v>
      </c>
      <c r="I60" s="13">
        <v>2.5794999999999999</v>
      </c>
      <c r="J60" s="18">
        <f t="shared" si="1"/>
        <v>2.2275682704811444</v>
      </c>
      <c r="K60" s="18">
        <f t="shared" si="0"/>
        <v>6.7963066744291094</v>
      </c>
      <c r="L60" s="33">
        <v>400</v>
      </c>
      <c r="M60" s="1">
        <v>2</v>
      </c>
      <c r="N60" s="38">
        <v>45460</v>
      </c>
      <c r="O60" s="44">
        <v>1591</v>
      </c>
      <c r="P60" s="44">
        <v>3984</v>
      </c>
      <c r="Q60" s="65">
        <v>0.79800000000000004</v>
      </c>
      <c r="R60" s="69">
        <v>737.1</v>
      </c>
      <c r="S60" s="74">
        <v>1194</v>
      </c>
      <c r="T60" s="49">
        <v>294830</v>
      </c>
      <c r="U60" s="56">
        <v>4.9400000000000004</v>
      </c>
      <c r="V60" s="56">
        <v>5.96</v>
      </c>
      <c r="W60" s="1">
        <v>3.5</v>
      </c>
      <c r="X60" s="28">
        <v>2.3069999999999999</v>
      </c>
      <c r="Y60" s="60">
        <v>14.6</v>
      </c>
      <c r="Z60" s="1">
        <v>76</v>
      </c>
      <c r="AA60" s="60">
        <v>1.1000000000000001</v>
      </c>
      <c r="AB60" s="1">
        <v>87</v>
      </c>
      <c r="AC60" s="1">
        <v>47</v>
      </c>
      <c r="AD60" s="1">
        <v>33</v>
      </c>
      <c r="AE60" s="36">
        <v>5.4</v>
      </c>
    </row>
    <row r="61" spans="1:31" x14ac:dyDescent="0.2">
      <c r="A61" s="1">
        <v>6</v>
      </c>
      <c r="B61" s="1" t="s">
        <v>46</v>
      </c>
      <c r="C61" s="28">
        <v>2.39</v>
      </c>
      <c r="D61" s="1">
        <v>19</v>
      </c>
      <c r="E61" s="1">
        <v>2</v>
      </c>
      <c r="F61" s="1">
        <v>3</v>
      </c>
      <c r="G61" s="11">
        <v>2.6615000000000002</v>
      </c>
      <c r="H61" s="12">
        <v>1.4804999999999999</v>
      </c>
      <c r="I61" s="13">
        <v>2.6735000000000002</v>
      </c>
      <c r="J61" s="18">
        <f t="shared" si="1"/>
        <v>2.2309304274937132</v>
      </c>
      <c r="K61" s="18">
        <f t="shared" si="0"/>
        <v>6.6556306487986161</v>
      </c>
      <c r="L61" s="33">
        <v>400</v>
      </c>
      <c r="M61" s="1">
        <v>3</v>
      </c>
      <c r="N61" s="38">
        <v>45462</v>
      </c>
      <c r="O61" s="44">
        <v>1681</v>
      </c>
      <c r="P61" s="44">
        <v>4189</v>
      </c>
      <c r="Q61" s="65">
        <v>0.82599999999999996</v>
      </c>
      <c r="R61" s="69">
        <v>799.1</v>
      </c>
      <c r="S61" s="74">
        <v>1254</v>
      </c>
      <c r="T61" s="49">
        <v>274650</v>
      </c>
      <c r="U61" s="56">
        <v>4.9400000000000004</v>
      </c>
      <c r="V61" s="56">
        <v>5.96</v>
      </c>
      <c r="W61" s="1">
        <v>3.5</v>
      </c>
      <c r="X61" s="28">
        <v>2.3069999999999999</v>
      </c>
      <c r="Y61" s="60">
        <v>14.6</v>
      </c>
      <c r="Z61" s="1">
        <v>76</v>
      </c>
      <c r="AA61" s="60">
        <v>1.1000000000000001</v>
      </c>
      <c r="AB61" s="1">
        <v>87</v>
      </c>
      <c r="AC61" s="1">
        <v>47</v>
      </c>
      <c r="AD61" s="1">
        <v>33</v>
      </c>
      <c r="AE61" s="36">
        <v>5.4</v>
      </c>
    </row>
    <row r="62" spans="1:31" ht="16" thickBot="1" x14ac:dyDescent="0.25">
      <c r="A62" s="1">
        <v>6</v>
      </c>
      <c r="B62" s="1" t="s">
        <v>46</v>
      </c>
      <c r="C62" s="29">
        <v>2.39</v>
      </c>
      <c r="D62" s="2">
        <v>19</v>
      </c>
      <c r="E62" s="2">
        <v>2</v>
      </c>
      <c r="F62" s="2">
        <v>4</v>
      </c>
      <c r="G62" s="16">
        <v>2.6985000000000001</v>
      </c>
      <c r="H62" s="10">
        <v>1.4970000000000001</v>
      </c>
      <c r="I62" s="17">
        <v>2.7115</v>
      </c>
      <c r="J62" s="20">
        <f t="shared" si="1"/>
        <v>2.2219020172910664</v>
      </c>
      <c r="K62" s="20">
        <f t="shared" si="0"/>
        <v>7.0333883978633382</v>
      </c>
      <c r="L62" s="34"/>
      <c r="M62" s="2"/>
      <c r="N62" s="39"/>
      <c r="O62" s="46"/>
      <c r="P62" s="46"/>
      <c r="Q62" s="66"/>
      <c r="R62" s="70"/>
      <c r="S62" s="76"/>
      <c r="T62" s="50"/>
      <c r="U62" s="57">
        <v>4.9400000000000004</v>
      </c>
      <c r="V62" s="57">
        <v>5.96</v>
      </c>
      <c r="W62" s="2">
        <v>3.5</v>
      </c>
      <c r="X62" s="29">
        <v>2.3069999999999999</v>
      </c>
      <c r="Y62" s="61">
        <v>14.6</v>
      </c>
      <c r="Z62" s="2">
        <v>76</v>
      </c>
      <c r="AA62" s="61">
        <v>1.1000000000000001</v>
      </c>
      <c r="AB62" s="2">
        <v>87</v>
      </c>
      <c r="AC62" s="2">
        <v>47</v>
      </c>
      <c r="AD62" s="2">
        <v>33</v>
      </c>
      <c r="AE62" s="4">
        <v>5.4</v>
      </c>
    </row>
    <row r="63" spans="1:31" x14ac:dyDescent="0.2">
      <c r="A63" s="1">
        <v>7</v>
      </c>
      <c r="B63" s="1" t="s">
        <v>47</v>
      </c>
      <c r="C63" s="28">
        <v>2.38</v>
      </c>
      <c r="D63" s="1">
        <v>12.5</v>
      </c>
      <c r="E63" s="26">
        <v>1</v>
      </c>
      <c r="F63" s="26">
        <v>0</v>
      </c>
      <c r="G63" s="21">
        <v>24.364999999999998</v>
      </c>
      <c r="H63" s="22">
        <v>13.564</v>
      </c>
      <c r="I63" s="23">
        <v>24.574999999999999</v>
      </c>
      <c r="J63" s="24">
        <f t="shared" si="1"/>
        <v>2.2127872127872128</v>
      </c>
      <c r="K63" s="24">
        <f t="shared" si="0"/>
        <v>7.0257473618818072</v>
      </c>
      <c r="L63" s="33">
        <v>0</v>
      </c>
      <c r="M63" s="1"/>
      <c r="N63" s="38"/>
      <c r="O63" s="44"/>
      <c r="P63" s="44"/>
      <c r="Q63" s="65"/>
      <c r="R63" s="69"/>
      <c r="S63" s="74"/>
      <c r="T63" s="49"/>
      <c r="U63" s="56">
        <v>5.05</v>
      </c>
      <c r="V63" s="56">
        <v>5.9</v>
      </c>
      <c r="W63" s="1">
        <v>3.1</v>
      </c>
      <c r="X63" s="28">
        <v>2.306</v>
      </c>
      <c r="Y63" s="60">
        <v>14.5</v>
      </c>
      <c r="Z63" s="1">
        <v>78</v>
      </c>
      <c r="AA63" s="60">
        <v>1.2</v>
      </c>
      <c r="AB63" s="1">
        <v>92</v>
      </c>
      <c r="AC63" s="1">
        <v>55</v>
      </c>
      <c r="AD63" s="1">
        <v>38</v>
      </c>
      <c r="AE63" s="36">
        <v>5.8</v>
      </c>
    </row>
    <row r="64" spans="1:31" x14ac:dyDescent="0.2">
      <c r="A64" s="1">
        <v>7</v>
      </c>
      <c r="B64" s="1" t="s">
        <v>47</v>
      </c>
      <c r="C64" s="28">
        <v>2.38</v>
      </c>
      <c r="D64" s="1">
        <v>12.5</v>
      </c>
      <c r="E64" s="1">
        <v>1</v>
      </c>
      <c r="F64" s="1">
        <v>1</v>
      </c>
      <c r="G64" s="11">
        <v>2.798</v>
      </c>
      <c r="H64" s="12">
        <v>1.5694999999999999</v>
      </c>
      <c r="I64" s="13">
        <v>2.827</v>
      </c>
      <c r="J64" s="18">
        <f t="shared" si="1"/>
        <v>2.2250497017892643</v>
      </c>
      <c r="K64" s="18">
        <f t="shared" si="0"/>
        <v>6.5105167315435146</v>
      </c>
      <c r="L64" s="33">
        <v>600</v>
      </c>
      <c r="M64" s="1">
        <v>1</v>
      </c>
      <c r="N64" s="38">
        <v>45465</v>
      </c>
      <c r="O64" s="44">
        <v>3699</v>
      </c>
      <c r="P64" s="44">
        <v>6176</v>
      </c>
      <c r="Q64" s="65">
        <v>1.9279999999999999</v>
      </c>
      <c r="R64" s="69">
        <v>1926.2</v>
      </c>
      <c r="S64" s="74">
        <v>3420</v>
      </c>
      <c r="T64" s="49">
        <v>31620</v>
      </c>
      <c r="U64" s="56">
        <v>5.05</v>
      </c>
      <c r="V64" s="56">
        <v>5.9</v>
      </c>
      <c r="W64" s="1">
        <v>3.1</v>
      </c>
      <c r="X64" s="28">
        <v>2.306</v>
      </c>
      <c r="Y64" s="60">
        <v>14.5</v>
      </c>
      <c r="Z64" s="1">
        <v>78</v>
      </c>
      <c r="AA64" s="60">
        <v>1.2</v>
      </c>
      <c r="AB64" s="1">
        <v>92</v>
      </c>
      <c r="AC64" s="1">
        <v>55</v>
      </c>
      <c r="AD64" s="1">
        <v>38</v>
      </c>
      <c r="AE64" s="36">
        <v>5.8</v>
      </c>
    </row>
    <row r="65" spans="1:31" x14ac:dyDescent="0.2">
      <c r="A65" s="1">
        <v>7</v>
      </c>
      <c r="B65" s="1" t="s">
        <v>47</v>
      </c>
      <c r="C65" s="28">
        <v>2.38</v>
      </c>
      <c r="D65" s="1">
        <v>12.5</v>
      </c>
      <c r="E65" s="1">
        <v>1</v>
      </c>
      <c r="F65" s="1">
        <v>2</v>
      </c>
      <c r="G65" s="11">
        <v>2.7069999999999999</v>
      </c>
      <c r="H65" s="12">
        <v>1.5105</v>
      </c>
      <c r="I65" s="13">
        <v>2.7305000000000001</v>
      </c>
      <c r="J65" s="18">
        <f t="shared" si="1"/>
        <v>2.2188524590163929</v>
      </c>
      <c r="K65" s="18">
        <f t="shared" si="0"/>
        <v>6.7709050833448252</v>
      </c>
      <c r="L65" s="33">
        <v>600</v>
      </c>
      <c r="M65" s="1">
        <v>2</v>
      </c>
      <c r="N65" s="38">
        <v>45465</v>
      </c>
      <c r="O65" s="44">
        <v>3474</v>
      </c>
      <c r="P65" s="44">
        <v>5802</v>
      </c>
      <c r="Q65" s="65">
        <v>1.948</v>
      </c>
      <c r="R65" s="69">
        <v>1719.6</v>
      </c>
      <c r="S65" s="74">
        <v>3471</v>
      </c>
      <c r="T65" s="49">
        <v>32630</v>
      </c>
      <c r="U65" s="56">
        <v>5.05</v>
      </c>
      <c r="V65" s="56">
        <v>5.9</v>
      </c>
      <c r="W65" s="1">
        <v>3.1</v>
      </c>
      <c r="X65" s="28">
        <v>2.306</v>
      </c>
      <c r="Y65" s="60">
        <v>14.5</v>
      </c>
      <c r="Z65" s="1">
        <v>78</v>
      </c>
      <c r="AA65" s="60">
        <v>1.2</v>
      </c>
      <c r="AB65" s="1">
        <v>92</v>
      </c>
      <c r="AC65" s="1">
        <v>55</v>
      </c>
      <c r="AD65" s="1">
        <v>38</v>
      </c>
      <c r="AE65" s="36">
        <v>5.8</v>
      </c>
    </row>
    <row r="66" spans="1:31" x14ac:dyDescent="0.2">
      <c r="A66" s="1">
        <v>7</v>
      </c>
      <c r="B66" s="1" t="s">
        <v>47</v>
      </c>
      <c r="C66" s="28">
        <v>2.38</v>
      </c>
      <c r="D66" s="1">
        <v>12.5</v>
      </c>
      <c r="E66" s="1">
        <v>1</v>
      </c>
      <c r="F66" s="1">
        <v>3</v>
      </c>
      <c r="G66" s="11">
        <v>2.7789999999999999</v>
      </c>
      <c r="H66" s="12">
        <v>1.5509999999999999</v>
      </c>
      <c r="I66" s="13">
        <v>2.8109999999999999</v>
      </c>
      <c r="J66" s="18">
        <f t="shared" si="1"/>
        <v>2.2055555555555553</v>
      </c>
      <c r="K66" s="18">
        <f t="shared" si="0"/>
        <v>7.329598506069102</v>
      </c>
      <c r="L66" s="33">
        <v>600</v>
      </c>
      <c r="M66" s="1">
        <v>3</v>
      </c>
      <c r="N66" s="38">
        <v>45465</v>
      </c>
      <c r="O66" s="44">
        <v>3247</v>
      </c>
      <c r="P66" s="44">
        <v>5424</v>
      </c>
      <c r="Q66" s="65">
        <v>1.796</v>
      </c>
      <c r="R66" s="69">
        <v>1671</v>
      </c>
      <c r="S66" s="74">
        <v>2515</v>
      </c>
      <c r="T66" s="49">
        <v>56560</v>
      </c>
      <c r="U66" s="56">
        <v>5.05</v>
      </c>
      <c r="V66" s="56">
        <v>5.9</v>
      </c>
      <c r="W66" s="1">
        <v>3.1</v>
      </c>
      <c r="X66" s="28">
        <v>2.306</v>
      </c>
      <c r="Y66" s="60">
        <v>14.5</v>
      </c>
      <c r="Z66" s="1">
        <v>78</v>
      </c>
      <c r="AA66" s="60">
        <v>1.2</v>
      </c>
      <c r="AB66" s="1">
        <v>92</v>
      </c>
      <c r="AC66" s="1">
        <v>55</v>
      </c>
      <c r="AD66" s="1">
        <v>38</v>
      </c>
      <c r="AE66" s="36">
        <v>5.8</v>
      </c>
    </row>
    <row r="67" spans="1:31" x14ac:dyDescent="0.2">
      <c r="A67" s="1">
        <v>7</v>
      </c>
      <c r="B67" s="1" t="s">
        <v>47</v>
      </c>
      <c r="C67" s="28">
        <v>2.38</v>
      </c>
      <c r="D67" s="1">
        <v>12.5</v>
      </c>
      <c r="E67" s="5">
        <v>1</v>
      </c>
      <c r="F67" s="5">
        <v>4</v>
      </c>
      <c r="G67" s="14">
        <v>2.8085</v>
      </c>
      <c r="H67" s="9">
        <v>1.5545</v>
      </c>
      <c r="I67" s="15">
        <v>2.8210000000000002</v>
      </c>
      <c r="J67" s="19">
        <f t="shared" si="1"/>
        <v>2.2175286221871295</v>
      </c>
      <c r="K67" s="19">
        <f t="shared" ref="K67:K130" si="2">+IF(G67=0,"",(1-(J67/C67))*100)</f>
        <v>6.8265284795323673</v>
      </c>
      <c r="L67" s="41">
        <v>400</v>
      </c>
      <c r="M67" s="5">
        <v>4</v>
      </c>
      <c r="N67" s="42">
        <v>45465</v>
      </c>
      <c r="O67" s="47">
        <v>2464</v>
      </c>
      <c r="P67" s="47">
        <v>6160</v>
      </c>
      <c r="Q67" s="67">
        <v>0.80900000000000005</v>
      </c>
      <c r="R67" s="71">
        <v>1274.8</v>
      </c>
      <c r="S67" s="75">
        <v>2918</v>
      </c>
      <c r="T67" s="51">
        <v>577510</v>
      </c>
      <c r="U67" s="58">
        <v>5.05</v>
      </c>
      <c r="V67" s="58">
        <v>5.9</v>
      </c>
      <c r="W67" s="5">
        <v>3.1</v>
      </c>
      <c r="X67" s="53">
        <v>2.306</v>
      </c>
      <c r="Y67" s="62">
        <v>14.5</v>
      </c>
      <c r="Z67" s="5">
        <v>78</v>
      </c>
      <c r="AA67" s="62">
        <v>1.2</v>
      </c>
      <c r="AB67" s="5">
        <v>92</v>
      </c>
      <c r="AC67" s="5">
        <v>55</v>
      </c>
      <c r="AD67" s="5">
        <v>38</v>
      </c>
      <c r="AE67" s="43">
        <v>5.8</v>
      </c>
    </row>
    <row r="68" spans="1:31" x14ac:dyDescent="0.2">
      <c r="A68" s="1">
        <v>7</v>
      </c>
      <c r="B68" s="1" t="s">
        <v>48</v>
      </c>
      <c r="C68" s="28">
        <v>2.38</v>
      </c>
      <c r="D68" s="1">
        <v>12.5</v>
      </c>
      <c r="E68" s="26">
        <v>2</v>
      </c>
      <c r="F68" s="26">
        <v>0</v>
      </c>
      <c r="G68" s="21">
        <v>24.490500000000001</v>
      </c>
      <c r="H68" s="22">
        <v>13.6075</v>
      </c>
      <c r="I68" s="23">
        <v>24.608899999999998</v>
      </c>
      <c r="J68" s="24">
        <f t="shared" si="1"/>
        <v>2.2261257658116245</v>
      </c>
      <c r="K68" s="24">
        <f t="shared" si="2"/>
        <v>6.4653039574947613</v>
      </c>
      <c r="L68" s="33">
        <v>0</v>
      </c>
      <c r="M68" s="1"/>
      <c r="N68" s="38"/>
      <c r="O68" s="44"/>
      <c r="P68" s="44"/>
      <c r="Q68" s="65"/>
      <c r="R68" s="69"/>
      <c r="S68" s="74"/>
      <c r="T68" s="49"/>
      <c r="U68" s="56">
        <v>5.05</v>
      </c>
      <c r="V68" s="56">
        <v>5.9</v>
      </c>
      <c r="W68" s="1">
        <v>3.1</v>
      </c>
      <c r="X68" s="28">
        <v>2.306</v>
      </c>
      <c r="Y68" s="60">
        <v>14.5</v>
      </c>
      <c r="Z68" s="1">
        <v>78</v>
      </c>
      <c r="AA68" s="60">
        <v>1.2</v>
      </c>
      <c r="AB68" s="1">
        <v>92</v>
      </c>
      <c r="AC68" s="1">
        <v>55</v>
      </c>
      <c r="AD68" s="1">
        <v>38</v>
      </c>
      <c r="AE68" s="36">
        <v>5.8</v>
      </c>
    </row>
    <row r="69" spans="1:31" x14ac:dyDescent="0.2">
      <c r="A69" s="1">
        <v>7</v>
      </c>
      <c r="B69" s="1" t="s">
        <v>48</v>
      </c>
      <c r="C69" s="28">
        <v>2.38</v>
      </c>
      <c r="D69" s="1">
        <v>12.5</v>
      </c>
      <c r="E69" s="1">
        <v>2</v>
      </c>
      <c r="F69" s="1">
        <v>1</v>
      </c>
      <c r="G69" s="11">
        <v>2.7770000000000001</v>
      </c>
      <c r="H69" s="12">
        <v>1.5595000000000001</v>
      </c>
      <c r="I69" s="13">
        <v>2.806</v>
      </c>
      <c r="J69" s="18">
        <f t="shared" ref="J69:J132" si="3">+IF(G69=0,"",G69/(I69-H69))</f>
        <v>2.2278379462494988</v>
      </c>
      <c r="K69" s="18">
        <f t="shared" si="2"/>
        <v>6.3933636029622321</v>
      </c>
      <c r="L69" s="33">
        <v>400</v>
      </c>
      <c r="M69" s="1">
        <v>1</v>
      </c>
      <c r="N69" s="38">
        <v>45466</v>
      </c>
      <c r="O69" s="44">
        <v>2154</v>
      </c>
      <c r="P69" s="44">
        <v>5375</v>
      </c>
      <c r="Q69" s="65">
        <v>0.72299999999999998</v>
      </c>
      <c r="R69" s="69">
        <v>1166.0999999999999</v>
      </c>
      <c r="S69" s="74">
        <v>3334</v>
      </c>
      <c r="T69" s="49">
        <v>321790</v>
      </c>
      <c r="U69" s="56">
        <v>5.05</v>
      </c>
      <c r="V69" s="56">
        <v>5.9</v>
      </c>
      <c r="W69" s="1">
        <v>3.1</v>
      </c>
      <c r="X69" s="28">
        <v>2.306</v>
      </c>
      <c r="Y69" s="60">
        <v>14.5</v>
      </c>
      <c r="Z69" s="1">
        <v>78</v>
      </c>
      <c r="AA69" s="60">
        <v>1.2</v>
      </c>
      <c r="AB69" s="1">
        <v>92</v>
      </c>
      <c r="AC69" s="1">
        <v>55</v>
      </c>
      <c r="AD69" s="1">
        <v>38</v>
      </c>
      <c r="AE69" s="36">
        <v>5.8</v>
      </c>
    </row>
    <row r="70" spans="1:31" x14ac:dyDescent="0.2">
      <c r="A70" s="1">
        <v>7</v>
      </c>
      <c r="B70" s="1" t="s">
        <v>48</v>
      </c>
      <c r="C70" s="28">
        <v>2.38</v>
      </c>
      <c r="D70" s="1">
        <v>12.5</v>
      </c>
      <c r="E70" s="1">
        <v>2</v>
      </c>
      <c r="F70" s="1">
        <v>2</v>
      </c>
      <c r="G70" s="11">
        <v>2.7469999999999999</v>
      </c>
      <c r="H70" s="12">
        <v>1.5409999999999999</v>
      </c>
      <c r="I70" s="13">
        <v>2.7845</v>
      </c>
      <c r="J70" s="18">
        <f t="shared" si="3"/>
        <v>2.2090872537193404</v>
      </c>
      <c r="K70" s="18">
        <f t="shared" si="2"/>
        <v>7.1812078269184676</v>
      </c>
      <c r="L70" s="33">
        <v>400</v>
      </c>
      <c r="M70" s="1">
        <v>2</v>
      </c>
      <c r="N70" s="38">
        <v>45466</v>
      </c>
      <c r="O70" s="44">
        <v>2194</v>
      </c>
      <c r="P70" s="44">
        <v>5484</v>
      </c>
      <c r="Q70" s="65">
        <v>0.79300000000000004</v>
      </c>
      <c r="R70" s="69">
        <v>1121.0999999999999</v>
      </c>
      <c r="S70" s="74">
        <v>3001</v>
      </c>
      <c r="T70" s="49">
        <v>553670</v>
      </c>
      <c r="U70" s="56">
        <v>5.05</v>
      </c>
      <c r="V70" s="56">
        <v>5.9</v>
      </c>
      <c r="W70" s="1">
        <v>3.1</v>
      </c>
      <c r="X70" s="28">
        <v>2.306</v>
      </c>
      <c r="Y70" s="60">
        <v>14.5</v>
      </c>
      <c r="Z70" s="1">
        <v>78</v>
      </c>
      <c r="AA70" s="60">
        <v>1.2</v>
      </c>
      <c r="AB70" s="1">
        <v>92</v>
      </c>
      <c r="AC70" s="1">
        <v>55</v>
      </c>
      <c r="AD70" s="1">
        <v>38</v>
      </c>
      <c r="AE70" s="36">
        <v>5.8</v>
      </c>
    </row>
    <row r="71" spans="1:31" x14ac:dyDescent="0.2">
      <c r="A71" s="1">
        <v>7</v>
      </c>
      <c r="B71" s="1" t="s">
        <v>48</v>
      </c>
      <c r="C71" s="28">
        <v>2.38</v>
      </c>
      <c r="D71" s="1">
        <v>12.5</v>
      </c>
      <c r="E71" s="1">
        <v>2</v>
      </c>
      <c r="F71" s="1">
        <v>3</v>
      </c>
      <c r="G71" s="11">
        <v>2.8105000000000002</v>
      </c>
      <c r="H71" s="12">
        <v>1.5674999999999999</v>
      </c>
      <c r="I71" s="13">
        <v>2.8294999999999999</v>
      </c>
      <c r="J71" s="18">
        <f t="shared" si="3"/>
        <v>2.2270206022187007</v>
      </c>
      <c r="K71" s="18">
        <f t="shared" si="2"/>
        <v>6.4277057891302221</v>
      </c>
      <c r="L71" s="33"/>
      <c r="M71" s="1"/>
      <c r="N71" s="38"/>
      <c r="O71" s="44"/>
      <c r="P71" s="44"/>
      <c r="Q71" s="65"/>
      <c r="R71" s="69"/>
      <c r="S71" s="74"/>
      <c r="T71" s="49"/>
      <c r="U71" s="56">
        <v>5.05</v>
      </c>
      <c r="V71" s="56">
        <v>5.9</v>
      </c>
      <c r="W71" s="1">
        <v>3.1</v>
      </c>
      <c r="X71" s="28">
        <v>2.306</v>
      </c>
      <c r="Y71" s="60">
        <v>14.5</v>
      </c>
      <c r="Z71" s="1">
        <v>78</v>
      </c>
      <c r="AA71" s="60">
        <v>1.2</v>
      </c>
      <c r="AB71" s="1">
        <v>92</v>
      </c>
      <c r="AC71" s="1">
        <v>55</v>
      </c>
      <c r="AD71" s="1">
        <v>38</v>
      </c>
      <c r="AE71" s="36">
        <v>5.8</v>
      </c>
    </row>
    <row r="72" spans="1:31" ht="16" thickBot="1" x14ac:dyDescent="0.25">
      <c r="A72" s="1">
        <v>7</v>
      </c>
      <c r="B72" s="1" t="s">
        <v>48</v>
      </c>
      <c r="C72" s="29">
        <v>2.38</v>
      </c>
      <c r="D72" s="2">
        <v>12.5</v>
      </c>
      <c r="E72" s="2">
        <v>2</v>
      </c>
      <c r="F72" s="2">
        <v>4</v>
      </c>
      <c r="G72" s="16">
        <v>2.7694999999999999</v>
      </c>
      <c r="H72" s="10">
        <v>1.5455000000000001</v>
      </c>
      <c r="I72" s="17">
        <v>2.7919999999999998</v>
      </c>
      <c r="J72" s="20">
        <f t="shared" si="3"/>
        <v>2.2218210990774172</v>
      </c>
      <c r="K72" s="20">
        <f t="shared" si="2"/>
        <v>6.646172307671538</v>
      </c>
      <c r="L72" s="34"/>
      <c r="M72" s="2"/>
      <c r="N72" s="39"/>
      <c r="O72" s="46"/>
      <c r="P72" s="46"/>
      <c r="Q72" s="66"/>
      <c r="R72" s="70"/>
      <c r="S72" s="76"/>
      <c r="T72" s="50"/>
      <c r="U72" s="57">
        <v>5.05</v>
      </c>
      <c r="V72" s="57">
        <v>5.9</v>
      </c>
      <c r="W72" s="2">
        <v>3.1</v>
      </c>
      <c r="X72" s="29">
        <v>2.306</v>
      </c>
      <c r="Y72" s="61">
        <v>14.5</v>
      </c>
      <c r="Z72" s="2">
        <v>78</v>
      </c>
      <c r="AA72" s="61">
        <v>1.2</v>
      </c>
      <c r="AB72" s="2">
        <v>92</v>
      </c>
      <c r="AC72" s="2">
        <v>55</v>
      </c>
      <c r="AD72" s="2">
        <v>38</v>
      </c>
      <c r="AE72" s="4">
        <v>5.8</v>
      </c>
    </row>
    <row r="73" spans="1:31" x14ac:dyDescent="0.2">
      <c r="A73" s="1">
        <v>8</v>
      </c>
      <c r="B73" s="1" t="s">
        <v>49</v>
      </c>
      <c r="C73" s="28">
        <v>2.375</v>
      </c>
      <c r="D73" s="1">
        <v>19</v>
      </c>
      <c r="E73" s="26">
        <v>1</v>
      </c>
      <c r="F73" s="26">
        <v>0</v>
      </c>
      <c r="G73" s="21">
        <v>24.139500000000002</v>
      </c>
      <c r="H73" s="22">
        <v>13.436999999999999</v>
      </c>
      <c r="I73" s="23">
        <v>24.428999999999998</v>
      </c>
      <c r="J73" s="24">
        <f t="shared" si="3"/>
        <v>2.1960971615720526</v>
      </c>
      <c r="K73" s="24">
        <f t="shared" si="2"/>
        <v>7.5327510917030498</v>
      </c>
      <c r="L73" s="33">
        <v>0</v>
      </c>
      <c r="M73" s="1"/>
      <c r="N73" s="38"/>
      <c r="O73" s="44"/>
      <c r="P73" s="44"/>
      <c r="Q73" s="65"/>
      <c r="R73" s="69"/>
      <c r="S73" s="74"/>
      <c r="T73" s="49"/>
      <c r="U73" s="56">
        <v>5.24</v>
      </c>
      <c r="V73" s="56">
        <v>6.14</v>
      </c>
      <c r="W73" s="1">
        <v>3.2</v>
      </c>
      <c r="X73" s="28">
        <v>2.2989999999999999</v>
      </c>
      <c r="Y73" s="60">
        <v>15</v>
      </c>
      <c r="Z73" s="1">
        <v>78</v>
      </c>
      <c r="AA73" s="60">
        <v>1</v>
      </c>
      <c r="AB73" s="1">
        <v>88</v>
      </c>
      <c r="AC73" s="1">
        <v>47</v>
      </c>
      <c r="AD73" s="1">
        <v>32</v>
      </c>
      <c r="AE73" s="36">
        <v>5</v>
      </c>
    </row>
    <row r="74" spans="1:31" x14ac:dyDescent="0.2">
      <c r="A74" s="1">
        <v>8</v>
      </c>
      <c r="B74" s="1" t="s">
        <v>49</v>
      </c>
      <c r="C74" s="28">
        <v>2.375</v>
      </c>
      <c r="D74" s="1">
        <v>19</v>
      </c>
      <c r="E74" s="1">
        <v>1</v>
      </c>
      <c r="F74" s="1">
        <v>1</v>
      </c>
      <c r="G74" s="11">
        <v>2.8294999999999999</v>
      </c>
      <c r="H74" s="12">
        <v>1.5854999999999999</v>
      </c>
      <c r="I74" s="13">
        <v>2.8605</v>
      </c>
      <c r="J74" s="18">
        <f t="shared" si="3"/>
        <v>2.2192156862745094</v>
      </c>
      <c r="K74" s="18">
        <f t="shared" si="2"/>
        <v>6.5593395252838143</v>
      </c>
      <c r="L74" s="33">
        <v>600</v>
      </c>
      <c r="M74" s="1">
        <v>1</v>
      </c>
      <c r="N74" s="38">
        <v>45467</v>
      </c>
      <c r="O74" s="44">
        <v>2993</v>
      </c>
      <c r="P74" s="44">
        <v>4969</v>
      </c>
      <c r="Q74" s="65">
        <v>2.0550000000000002</v>
      </c>
      <c r="R74" s="69">
        <v>1559.5</v>
      </c>
      <c r="S74" s="74">
        <v>2897</v>
      </c>
      <c r="T74" s="49">
        <v>33810</v>
      </c>
      <c r="U74" s="56">
        <v>5.24</v>
      </c>
      <c r="V74" s="56">
        <v>6.14</v>
      </c>
      <c r="W74" s="1">
        <v>3.2</v>
      </c>
      <c r="X74" s="28">
        <v>2.2989999999999999</v>
      </c>
      <c r="Y74" s="60">
        <v>15</v>
      </c>
      <c r="Z74" s="1">
        <v>78</v>
      </c>
      <c r="AA74" s="60">
        <v>1</v>
      </c>
      <c r="AB74" s="1">
        <v>88</v>
      </c>
      <c r="AC74" s="1">
        <v>47</v>
      </c>
      <c r="AD74" s="1">
        <v>32</v>
      </c>
      <c r="AE74" s="36">
        <v>5</v>
      </c>
    </row>
    <row r="75" spans="1:31" x14ac:dyDescent="0.2">
      <c r="A75" s="1">
        <v>8</v>
      </c>
      <c r="B75" s="1" t="s">
        <v>49</v>
      </c>
      <c r="C75" s="28">
        <v>2.375</v>
      </c>
      <c r="D75" s="1">
        <v>19</v>
      </c>
      <c r="E75" s="1">
        <v>1</v>
      </c>
      <c r="F75" s="1">
        <v>2</v>
      </c>
      <c r="G75" s="11">
        <v>2.7839999999999998</v>
      </c>
      <c r="H75" s="12">
        <v>1.556</v>
      </c>
      <c r="I75" s="13">
        <v>2.8035000000000001</v>
      </c>
      <c r="J75" s="18">
        <f t="shared" si="3"/>
        <v>2.2316633266533064</v>
      </c>
      <c r="K75" s="18">
        <f t="shared" si="2"/>
        <v>6.035228351439736</v>
      </c>
      <c r="L75" s="33">
        <v>600</v>
      </c>
      <c r="M75" s="1">
        <v>2</v>
      </c>
      <c r="N75" s="38">
        <v>45467</v>
      </c>
      <c r="O75" s="44">
        <v>2848</v>
      </c>
      <c r="P75" s="44">
        <v>4754</v>
      </c>
      <c r="Q75" s="65">
        <v>1.905</v>
      </c>
      <c r="R75" s="69">
        <v>1449</v>
      </c>
      <c r="S75" s="74">
        <v>2861</v>
      </c>
      <c r="T75" s="49">
        <v>32370</v>
      </c>
      <c r="U75" s="56">
        <v>5.24</v>
      </c>
      <c r="V75" s="56">
        <v>6.14</v>
      </c>
      <c r="W75" s="1">
        <v>3.2</v>
      </c>
      <c r="X75" s="28">
        <v>2.2989999999999999</v>
      </c>
      <c r="Y75" s="60">
        <v>15</v>
      </c>
      <c r="Z75" s="1">
        <v>78</v>
      </c>
      <c r="AA75" s="60">
        <v>1</v>
      </c>
      <c r="AB75" s="1">
        <v>88</v>
      </c>
      <c r="AC75" s="1">
        <v>47</v>
      </c>
      <c r="AD75" s="1">
        <v>32</v>
      </c>
      <c r="AE75" s="36">
        <v>5</v>
      </c>
    </row>
    <row r="76" spans="1:31" x14ac:dyDescent="0.2">
      <c r="A76" s="1">
        <v>8</v>
      </c>
      <c r="B76" s="1" t="s">
        <v>49</v>
      </c>
      <c r="C76" s="28">
        <v>2.375</v>
      </c>
      <c r="D76" s="1">
        <v>19</v>
      </c>
      <c r="E76" s="1">
        <v>1</v>
      </c>
      <c r="F76" s="1">
        <v>3</v>
      </c>
      <c r="G76" s="11">
        <v>2.8010000000000002</v>
      </c>
      <c r="H76" s="12">
        <v>1.5654999999999999</v>
      </c>
      <c r="I76" s="13">
        <v>2.8239999999999998</v>
      </c>
      <c r="J76" s="18">
        <f t="shared" si="3"/>
        <v>2.2256654747715539</v>
      </c>
      <c r="K76" s="18">
        <f t="shared" si="2"/>
        <v>6.2877694833029967</v>
      </c>
      <c r="L76" s="33">
        <v>600</v>
      </c>
      <c r="M76" s="1">
        <v>3</v>
      </c>
      <c r="N76" s="38">
        <v>45467</v>
      </c>
      <c r="O76" s="44">
        <v>83</v>
      </c>
      <c r="P76" s="44">
        <v>138</v>
      </c>
      <c r="Q76" s="65">
        <v>5.7000000000000002E-2</v>
      </c>
      <c r="R76" s="69">
        <v>1484</v>
      </c>
      <c r="S76" s="74">
        <v>81</v>
      </c>
      <c r="T76" s="49">
        <v>32610</v>
      </c>
      <c r="U76" s="56">
        <v>5.24</v>
      </c>
      <c r="V76" s="56">
        <v>6.14</v>
      </c>
      <c r="W76" s="1">
        <v>3.2</v>
      </c>
      <c r="X76" s="28">
        <v>2.2989999999999999</v>
      </c>
      <c r="Y76" s="60">
        <v>15</v>
      </c>
      <c r="Z76" s="1">
        <v>78</v>
      </c>
      <c r="AA76" s="60">
        <v>1</v>
      </c>
      <c r="AB76" s="1">
        <v>88</v>
      </c>
      <c r="AC76" s="1">
        <v>47</v>
      </c>
      <c r="AD76" s="1">
        <v>32</v>
      </c>
      <c r="AE76" s="36">
        <v>5</v>
      </c>
    </row>
    <row r="77" spans="1:31" x14ac:dyDescent="0.2">
      <c r="A77" s="1">
        <v>8</v>
      </c>
      <c r="B77" s="1" t="s">
        <v>49</v>
      </c>
      <c r="C77" s="28">
        <v>2.375</v>
      </c>
      <c r="D77" s="1">
        <v>19</v>
      </c>
      <c r="E77" s="5">
        <v>1</v>
      </c>
      <c r="F77" s="5">
        <v>4</v>
      </c>
      <c r="G77" s="14">
        <v>2.806</v>
      </c>
      <c r="H77" s="9">
        <v>1.5674999999999999</v>
      </c>
      <c r="I77" s="15">
        <v>2.8304999999999998</v>
      </c>
      <c r="J77" s="19">
        <f t="shared" si="3"/>
        <v>2.2216943784639747</v>
      </c>
      <c r="K77" s="19">
        <f t="shared" si="2"/>
        <v>6.4549735383589653</v>
      </c>
      <c r="L77" s="41">
        <v>400</v>
      </c>
      <c r="M77" s="5">
        <v>4</v>
      </c>
      <c r="N77" s="42">
        <v>45467</v>
      </c>
      <c r="O77" s="47">
        <v>2092</v>
      </c>
      <c r="P77" s="47">
        <v>5235</v>
      </c>
      <c r="Q77" s="67">
        <v>0.86399999999999999</v>
      </c>
      <c r="R77" s="71">
        <v>1079.5999999999999</v>
      </c>
      <c r="S77" s="75">
        <v>1570</v>
      </c>
      <c r="T77" s="51">
        <v>325000</v>
      </c>
      <c r="U77" s="58">
        <v>5.24</v>
      </c>
      <c r="V77" s="58">
        <v>6.14</v>
      </c>
      <c r="W77" s="5">
        <v>3.2</v>
      </c>
      <c r="X77" s="53">
        <v>2.2989999999999999</v>
      </c>
      <c r="Y77" s="62">
        <v>15</v>
      </c>
      <c r="Z77" s="5">
        <v>78</v>
      </c>
      <c r="AA77" s="62">
        <v>1</v>
      </c>
      <c r="AB77" s="5">
        <v>88</v>
      </c>
      <c r="AC77" s="5">
        <v>47</v>
      </c>
      <c r="AD77" s="5">
        <v>32</v>
      </c>
      <c r="AE77" s="43">
        <v>5</v>
      </c>
    </row>
    <row r="78" spans="1:31" x14ac:dyDescent="0.2">
      <c r="A78" s="1">
        <v>8</v>
      </c>
      <c r="B78" s="1" t="s">
        <v>50</v>
      </c>
      <c r="C78" s="28">
        <v>2.375</v>
      </c>
      <c r="D78" s="1">
        <v>19</v>
      </c>
      <c r="E78" s="26">
        <v>2</v>
      </c>
      <c r="F78" s="26">
        <v>0</v>
      </c>
      <c r="G78" s="21">
        <v>24.106999999999999</v>
      </c>
      <c r="H78" s="22">
        <v>13.3895</v>
      </c>
      <c r="I78" s="23">
        <v>24.349</v>
      </c>
      <c r="J78" s="24">
        <f t="shared" si="3"/>
        <v>2.1996441443496511</v>
      </c>
      <c r="K78" s="24">
        <f t="shared" si="2"/>
        <v>7.3834044484357486</v>
      </c>
      <c r="L78" s="33">
        <v>0</v>
      </c>
      <c r="M78" s="1"/>
      <c r="N78" s="38"/>
      <c r="O78" s="44"/>
      <c r="P78" s="44"/>
      <c r="Q78" s="65"/>
      <c r="R78" s="69"/>
      <c r="S78" s="74"/>
      <c r="T78" s="49"/>
      <c r="U78" s="56">
        <v>5.24</v>
      </c>
      <c r="V78" s="56">
        <v>6.14</v>
      </c>
      <c r="W78" s="1">
        <v>3.2</v>
      </c>
      <c r="X78" s="28">
        <v>2.2989999999999999</v>
      </c>
      <c r="Y78" s="60">
        <v>15</v>
      </c>
      <c r="Z78" s="1">
        <v>78</v>
      </c>
      <c r="AA78" s="60">
        <v>1</v>
      </c>
      <c r="AB78" s="1">
        <v>88</v>
      </c>
      <c r="AC78" s="1">
        <v>47</v>
      </c>
      <c r="AD78" s="1">
        <v>32</v>
      </c>
      <c r="AE78" s="36">
        <v>5</v>
      </c>
    </row>
    <row r="79" spans="1:31" x14ac:dyDescent="0.2">
      <c r="A79" s="1">
        <v>8</v>
      </c>
      <c r="B79" s="1" t="s">
        <v>50</v>
      </c>
      <c r="C79" s="28">
        <v>2.375</v>
      </c>
      <c r="D79" s="1">
        <v>19</v>
      </c>
      <c r="E79" s="1">
        <v>2</v>
      </c>
      <c r="F79" s="1">
        <v>1</v>
      </c>
      <c r="G79" s="11">
        <v>2.7244999999999999</v>
      </c>
      <c r="H79" s="12">
        <v>1.5169999999999999</v>
      </c>
      <c r="I79" s="13">
        <v>2.7404999999999999</v>
      </c>
      <c r="J79" s="18">
        <f t="shared" si="3"/>
        <v>2.2268083367388636</v>
      </c>
      <c r="K79" s="18">
        <f t="shared" si="2"/>
        <v>6.2396489794162679</v>
      </c>
      <c r="L79" s="33">
        <v>400</v>
      </c>
      <c r="M79" s="1">
        <v>1</v>
      </c>
      <c r="N79" s="38">
        <v>45468</v>
      </c>
      <c r="O79" s="44">
        <v>2196</v>
      </c>
      <c r="P79" s="44">
        <v>5491</v>
      </c>
      <c r="Q79" s="65">
        <v>0.8</v>
      </c>
      <c r="R79" s="69">
        <v>1108.3</v>
      </c>
      <c r="S79" s="74">
        <v>3277</v>
      </c>
      <c r="T79" s="49">
        <v>324460</v>
      </c>
      <c r="U79" s="56">
        <v>5.24</v>
      </c>
      <c r="V79" s="56">
        <v>6.14</v>
      </c>
      <c r="W79" s="1">
        <v>3.2</v>
      </c>
      <c r="X79" s="28">
        <v>2.2989999999999999</v>
      </c>
      <c r="Y79" s="60">
        <v>15</v>
      </c>
      <c r="Z79" s="1">
        <v>78</v>
      </c>
      <c r="AA79" s="60">
        <v>1</v>
      </c>
      <c r="AB79" s="1">
        <v>88</v>
      </c>
      <c r="AC79" s="1">
        <v>47</v>
      </c>
      <c r="AD79" s="1">
        <v>32</v>
      </c>
      <c r="AE79" s="36">
        <v>5</v>
      </c>
    </row>
    <row r="80" spans="1:31" x14ac:dyDescent="0.2">
      <c r="A80" s="1">
        <v>8</v>
      </c>
      <c r="B80" s="1" t="s">
        <v>50</v>
      </c>
      <c r="C80" s="28">
        <v>2.375</v>
      </c>
      <c r="D80" s="1">
        <v>19</v>
      </c>
      <c r="E80" s="1">
        <v>2</v>
      </c>
      <c r="F80" s="1">
        <v>2</v>
      </c>
      <c r="G80" s="11">
        <v>2.8134999999999999</v>
      </c>
      <c r="H80" s="12">
        <v>1.5705</v>
      </c>
      <c r="I80" s="13">
        <v>2.8330000000000002</v>
      </c>
      <c r="J80" s="18">
        <f t="shared" si="3"/>
        <v>2.2285148514851483</v>
      </c>
      <c r="K80" s="18">
        <f t="shared" si="2"/>
        <v>6.1677957269411277</v>
      </c>
      <c r="L80" s="33">
        <v>400</v>
      </c>
      <c r="M80" s="1">
        <v>2</v>
      </c>
      <c r="N80" s="38">
        <v>45468</v>
      </c>
      <c r="O80" s="44">
        <v>2419</v>
      </c>
      <c r="P80" s="44">
        <v>6040</v>
      </c>
      <c r="Q80" s="65">
        <v>0.83499999999999996</v>
      </c>
      <c r="R80" s="69">
        <v>1212.2</v>
      </c>
      <c r="S80" s="74">
        <v>181</v>
      </c>
      <c r="T80" s="49">
        <v>274550</v>
      </c>
      <c r="U80" s="56">
        <v>5.24</v>
      </c>
      <c r="V80" s="56">
        <v>6.14</v>
      </c>
      <c r="W80" s="1">
        <v>3.2</v>
      </c>
      <c r="X80" s="28">
        <v>2.2989999999999999</v>
      </c>
      <c r="Y80" s="60">
        <v>15</v>
      </c>
      <c r="Z80" s="1">
        <v>78</v>
      </c>
      <c r="AA80" s="60">
        <v>1</v>
      </c>
      <c r="AB80" s="1">
        <v>88</v>
      </c>
      <c r="AC80" s="1">
        <v>47</v>
      </c>
      <c r="AD80" s="1">
        <v>32</v>
      </c>
      <c r="AE80" s="36">
        <v>5</v>
      </c>
    </row>
    <row r="81" spans="1:31" x14ac:dyDescent="0.2">
      <c r="A81" s="1">
        <v>8</v>
      </c>
      <c r="B81" s="1" t="s">
        <v>50</v>
      </c>
      <c r="C81" s="28">
        <v>2.375</v>
      </c>
      <c r="D81" s="1">
        <v>19</v>
      </c>
      <c r="E81" s="1">
        <v>2</v>
      </c>
      <c r="F81" s="1">
        <v>3</v>
      </c>
      <c r="G81" s="11">
        <v>2.8029999999999999</v>
      </c>
      <c r="H81" s="12">
        <v>1.5714999999999999</v>
      </c>
      <c r="I81" s="13">
        <v>2.8279999999999998</v>
      </c>
      <c r="J81" s="18">
        <f t="shared" si="3"/>
        <v>2.2307998408276961</v>
      </c>
      <c r="K81" s="18">
        <f t="shared" si="2"/>
        <v>6.0715856493601672</v>
      </c>
      <c r="L81" s="33"/>
      <c r="M81" s="1"/>
      <c r="N81" s="38"/>
      <c r="O81" s="44"/>
      <c r="P81" s="44"/>
      <c r="Q81" s="65"/>
      <c r="R81" s="69"/>
      <c r="S81" s="74"/>
      <c r="T81" s="49"/>
      <c r="U81" s="56">
        <v>5.24</v>
      </c>
      <c r="V81" s="56">
        <v>6.14</v>
      </c>
      <c r="W81" s="1">
        <v>3.2</v>
      </c>
      <c r="X81" s="28">
        <v>2.2989999999999999</v>
      </c>
      <c r="Y81" s="60">
        <v>15</v>
      </c>
      <c r="Z81" s="1">
        <v>78</v>
      </c>
      <c r="AA81" s="60">
        <v>1</v>
      </c>
      <c r="AB81" s="1">
        <v>88</v>
      </c>
      <c r="AC81" s="1">
        <v>47</v>
      </c>
      <c r="AD81" s="1">
        <v>32</v>
      </c>
      <c r="AE81" s="36">
        <v>5</v>
      </c>
    </row>
    <row r="82" spans="1:31" ht="16" thickBot="1" x14ac:dyDescent="0.25">
      <c r="A82" s="1">
        <v>8</v>
      </c>
      <c r="B82" s="1" t="s">
        <v>50</v>
      </c>
      <c r="C82" s="29">
        <v>2.375</v>
      </c>
      <c r="D82" s="2">
        <v>19</v>
      </c>
      <c r="E82" s="2">
        <v>2</v>
      </c>
      <c r="F82" s="2">
        <v>4</v>
      </c>
      <c r="G82" s="16">
        <v>2.7654999999999998</v>
      </c>
      <c r="H82" s="10">
        <v>1.538</v>
      </c>
      <c r="I82" s="17">
        <v>2.7850000000000001</v>
      </c>
      <c r="J82" s="20">
        <f t="shared" si="3"/>
        <v>2.2177225340817959</v>
      </c>
      <c r="K82" s="20">
        <f t="shared" si="2"/>
        <v>6.6222090912928078</v>
      </c>
      <c r="L82" s="34"/>
      <c r="M82" s="2"/>
      <c r="N82" s="39"/>
      <c r="O82" s="46"/>
      <c r="P82" s="46"/>
      <c r="Q82" s="66"/>
      <c r="R82" s="70"/>
      <c r="S82" s="76"/>
      <c r="T82" s="50"/>
      <c r="U82" s="57">
        <v>5.24</v>
      </c>
      <c r="V82" s="57">
        <v>6.14</v>
      </c>
      <c r="W82" s="2">
        <v>3.2</v>
      </c>
      <c r="X82" s="29">
        <v>2.2989999999999999</v>
      </c>
      <c r="Y82" s="61">
        <v>15</v>
      </c>
      <c r="Z82" s="2">
        <v>78</v>
      </c>
      <c r="AA82" s="61">
        <v>1</v>
      </c>
      <c r="AB82" s="2">
        <v>88</v>
      </c>
      <c r="AC82" s="2">
        <v>47</v>
      </c>
      <c r="AD82" s="2">
        <v>32</v>
      </c>
      <c r="AE82" s="4">
        <v>5</v>
      </c>
    </row>
    <row r="83" spans="1:31" x14ac:dyDescent="0.2">
      <c r="A83" s="1">
        <v>9</v>
      </c>
      <c r="B83" s="1" t="s">
        <v>51</v>
      </c>
      <c r="C83" s="28">
        <v>2.3839999999999999</v>
      </c>
      <c r="D83" s="1">
        <v>12.5</v>
      </c>
      <c r="E83" s="26">
        <v>1</v>
      </c>
      <c r="F83" s="26">
        <v>0</v>
      </c>
      <c r="G83" s="21">
        <v>23.111000000000001</v>
      </c>
      <c r="H83" s="22">
        <v>12.8185</v>
      </c>
      <c r="I83" s="23">
        <v>23.335000000000001</v>
      </c>
      <c r="J83" s="24">
        <f t="shared" si="3"/>
        <v>2.197594256644321</v>
      </c>
      <c r="K83" s="24">
        <f t="shared" si="2"/>
        <v>7.8190328588791491</v>
      </c>
      <c r="L83" s="33">
        <v>0</v>
      </c>
      <c r="M83" s="1"/>
      <c r="N83" s="38"/>
      <c r="O83" s="44"/>
      <c r="P83" s="44"/>
      <c r="Q83" s="65"/>
      <c r="R83" s="69"/>
      <c r="S83" s="74"/>
      <c r="T83" s="49"/>
      <c r="U83" s="56">
        <v>5.09</v>
      </c>
      <c r="V83" s="56">
        <v>6</v>
      </c>
      <c r="W83" s="1">
        <v>3.4</v>
      </c>
      <c r="X83" s="28">
        <v>2.302</v>
      </c>
      <c r="Y83" s="60">
        <v>14.9</v>
      </c>
      <c r="Z83" s="1">
        <v>77</v>
      </c>
      <c r="AA83" s="60">
        <v>1.2</v>
      </c>
      <c r="AB83" s="1">
        <v>93</v>
      </c>
      <c r="AC83" s="1">
        <v>60</v>
      </c>
      <c r="AD83" s="1">
        <v>41</v>
      </c>
      <c r="AE83" s="36">
        <v>5.9</v>
      </c>
    </row>
    <row r="84" spans="1:31" x14ac:dyDescent="0.2">
      <c r="A84" s="1">
        <v>9</v>
      </c>
      <c r="B84" s="1" t="s">
        <v>51</v>
      </c>
      <c r="C84" s="28">
        <v>2.3839999999999999</v>
      </c>
      <c r="D84" s="1">
        <v>12.5</v>
      </c>
      <c r="E84" s="1">
        <v>1</v>
      </c>
      <c r="F84" s="1">
        <v>1</v>
      </c>
      <c r="G84" s="11">
        <v>2.8140000000000001</v>
      </c>
      <c r="H84" s="12">
        <v>1.5629999999999999</v>
      </c>
      <c r="I84" s="13">
        <v>2.82</v>
      </c>
      <c r="J84" s="18">
        <f t="shared" si="3"/>
        <v>2.2386634844868736</v>
      </c>
      <c r="K84" s="18">
        <f t="shared" si="2"/>
        <v>6.0963303487049592</v>
      </c>
      <c r="L84" s="33">
        <v>600</v>
      </c>
      <c r="M84" s="1">
        <v>1</v>
      </c>
      <c r="N84" s="38">
        <v>45471</v>
      </c>
      <c r="O84" s="44">
        <v>2722</v>
      </c>
      <c r="P84" s="44">
        <v>4538</v>
      </c>
      <c r="Q84" s="65">
        <v>1.9470000000000001</v>
      </c>
      <c r="R84" s="69">
        <v>1384</v>
      </c>
      <c r="S84" s="74">
        <v>2715</v>
      </c>
      <c r="T84" s="49">
        <v>35700</v>
      </c>
      <c r="U84" s="56">
        <v>5.09</v>
      </c>
      <c r="V84" s="56">
        <v>6</v>
      </c>
      <c r="W84" s="1">
        <v>3.4</v>
      </c>
      <c r="X84" s="28">
        <v>2.302</v>
      </c>
      <c r="Y84" s="60">
        <v>14.9</v>
      </c>
      <c r="Z84" s="1">
        <v>77</v>
      </c>
      <c r="AA84" s="60">
        <v>1.2</v>
      </c>
      <c r="AB84" s="1">
        <v>93</v>
      </c>
      <c r="AC84" s="1">
        <v>60</v>
      </c>
      <c r="AD84" s="1">
        <v>41</v>
      </c>
      <c r="AE84" s="36">
        <v>5.9</v>
      </c>
    </row>
    <row r="85" spans="1:31" x14ac:dyDescent="0.2">
      <c r="A85" s="1">
        <v>9</v>
      </c>
      <c r="B85" s="1" t="s">
        <v>51</v>
      </c>
      <c r="C85" s="28">
        <v>2.3839999999999999</v>
      </c>
      <c r="D85" s="1">
        <v>12.5</v>
      </c>
      <c r="E85" s="1">
        <v>1</v>
      </c>
      <c r="F85" s="1">
        <v>2</v>
      </c>
      <c r="G85" s="11">
        <v>2.8690000000000002</v>
      </c>
      <c r="H85" s="12">
        <v>1.5925</v>
      </c>
      <c r="I85" s="13">
        <v>2.8734999999999999</v>
      </c>
      <c r="J85" s="18">
        <f t="shared" si="3"/>
        <v>2.2396565183450434</v>
      </c>
      <c r="K85" s="18">
        <f t="shared" si="2"/>
        <v>6.0546762439159574</v>
      </c>
      <c r="L85" s="33">
        <v>600</v>
      </c>
      <c r="M85" s="1">
        <v>2</v>
      </c>
      <c r="N85" s="38">
        <v>45471</v>
      </c>
      <c r="O85" s="44">
        <v>3041</v>
      </c>
      <c r="P85" s="44">
        <v>5071</v>
      </c>
      <c r="Q85" s="65">
        <v>1.974</v>
      </c>
      <c r="R85" s="69">
        <v>1587.7</v>
      </c>
      <c r="S85" s="74">
        <v>2856</v>
      </c>
      <c r="T85" s="49">
        <v>32160</v>
      </c>
      <c r="U85" s="56">
        <v>5.09</v>
      </c>
      <c r="V85" s="56">
        <v>6</v>
      </c>
      <c r="W85" s="1">
        <v>3.4</v>
      </c>
      <c r="X85" s="28">
        <v>2.302</v>
      </c>
      <c r="Y85" s="60">
        <v>14.9</v>
      </c>
      <c r="Z85" s="1">
        <v>77</v>
      </c>
      <c r="AA85" s="60">
        <v>1.2</v>
      </c>
      <c r="AB85" s="1">
        <v>93</v>
      </c>
      <c r="AC85" s="1">
        <v>60</v>
      </c>
      <c r="AD85" s="1">
        <v>41</v>
      </c>
      <c r="AE85" s="36">
        <v>5.9</v>
      </c>
    </row>
    <row r="86" spans="1:31" x14ac:dyDescent="0.2">
      <c r="A86" s="1">
        <v>9</v>
      </c>
      <c r="B86" s="1" t="s">
        <v>51</v>
      </c>
      <c r="C86" s="28">
        <v>2.3839999999999999</v>
      </c>
      <c r="D86" s="1">
        <v>12.5</v>
      </c>
      <c r="E86" s="1">
        <v>1</v>
      </c>
      <c r="F86" s="1">
        <v>3</v>
      </c>
      <c r="G86" s="11">
        <v>2.84</v>
      </c>
      <c r="H86" s="12">
        <v>1.5665</v>
      </c>
      <c r="I86" s="13">
        <v>2.8460000000000001</v>
      </c>
      <c r="J86" s="18">
        <f t="shared" si="3"/>
        <v>2.2196170379054316</v>
      </c>
      <c r="K86" s="18">
        <f t="shared" si="2"/>
        <v>6.8952584771211578</v>
      </c>
      <c r="L86" s="33">
        <v>600</v>
      </c>
      <c r="M86" s="1">
        <v>3</v>
      </c>
      <c r="N86" s="38">
        <v>45471</v>
      </c>
      <c r="O86" s="44">
        <v>2792</v>
      </c>
      <c r="P86" s="44">
        <v>4647</v>
      </c>
      <c r="Q86" s="65">
        <v>1.8240000000000001</v>
      </c>
      <c r="R86" s="69">
        <v>1462.4</v>
      </c>
      <c r="S86" s="74">
        <v>2451</v>
      </c>
      <c r="T86" s="49">
        <v>43340</v>
      </c>
      <c r="U86" s="56">
        <v>5.09</v>
      </c>
      <c r="V86" s="56">
        <v>6</v>
      </c>
      <c r="W86" s="1">
        <v>3.4</v>
      </c>
      <c r="X86" s="28">
        <v>2.302</v>
      </c>
      <c r="Y86" s="60">
        <v>14.9</v>
      </c>
      <c r="Z86" s="1">
        <v>77</v>
      </c>
      <c r="AA86" s="60">
        <v>1.2</v>
      </c>
      <c r="AB86" s="1">
        <v>93</v>
      </c>
      <c r="AC86" s="1">
        <v>60</v>
      </c>
      <c r="AD86" s="1">
        <v>41</v>
      </c>
      <c r="AE86" s="36">
        <v>5.9</v>
      </c>
    </row>
    <row r="87" spans="1:31" x14ac:dyDescent="0.2">
      <c r="A87" s="1">
        <v>9</v>
      </c>
      <c r="B87" s="1" t="s">
        <v>51</v>
      </c>
      <c r="C87" s="28">
        <v>2.3839999999999999</v>
      </c>
      <c r="D87" s="1">
        <v>12.5</v>
      </c>
      <c r="E87" s="5">
        <v>1</v>
      </c>
      <c r="F87" s="5">
        <v>4</v>
      </c>
      <c r="G87" s="14">
        <v>2.8035000000000001</v>
      </c>
      <c r="H87" s="9">
        <v>1.5545</v>
      </c>
      <c r="I87" s="15">
        <v>2.8119999999999998</v>
      </c>
      <c r="J87" s="19">
        <f t="shared" si="3"/>
        <v>2.2294234592445332</v>
      </c>
      <c r="K87" s="19">
        <f t="shared" si="2"/>
        <v>6.4839153001454157</v>
      </c>
      <c r="L87" s="41">
        <v>400</v>
      </c>
      <c r="M87" s="5">
        <v>4</v>
      </c>
      <c r="N87" s="42">
        <v>45471</v>
      </c>
      <c r="O87" s="47">
        <v>2158</v>
      </c>
      <c r="P87" s="47">
        <v>5407</v>
      </c>
      <c r="Q87" s="67">
        <v>0.90500000000000003</v>
      </c>
      <c r="R87" s="71">
        <v>1075.5</v>
      </c>
      <c r="S87" s="75">
        <v>3010</v>
      </c>
      <c r="T87" s="51">
        <v>585330</v>
      </c>
      <c r="U87" s="58">
        <v>5.09</v>
      </c>
      <c r="V87" s="58">
        <v>6</v>
      </c>
      <c r="W87" s="5">
        <v>3.4</v>
      </c>
      <c r="X87" s="53">
        <v>2.302</v>
      </c>
      <c r="Y87" s="62">
        <v>14.9</v>
      </c>
      <c r="Z87" s="5">
        <v>77</v>
      </c>
      <c r="AA87" s="62">
        <v>1.2</v>
      </c>
      <c r="AB87" s="5">
        <v>93</v>
      </c>
      <c r="AC87" s="5">
        <v>60</v>
      </c>
      <c r="AD87" s="5">
        <v>41</v>
      </c>
      <c r="AE87" s="43">
        <v>5.9</v>
      </c>
    </row>
    <row r="88" spans="1:31" x14ac:dyDescent="0.2">
      <c r="A88" s="1">
        <v>9</v>
      </c>
      <c r="B88" s="1" t="s">
        <v>52</v>
      </c>
      <c r="C88" s="28">
        <v>2.3839999999999999</v>
      </c>
      <c r="D88" s="1">
        <v>12.5</v>
      </c>
      <c r="E88" s="26">
        <v>2</v>
      </c>
      <c r="F88" s="26">
        <v>0</v>
      </c>
      <c r="G88" s="21">
        <v>24.037500000000001</v>
      </c>
      <c r="H88" s="22">
        <v>13.334</v>
      </c>
      <c r="I88" s="23">
        <v>24.265499999999999</v>
      </c>
      <c r="J88" s="24">
        <f t="shared" si="3"/>
        <v>2.1989205507020997</v>
      </c>
      <c r="K88" s="24">
        <f t="shared" si="2"/>
        <v>7.7633997188716553</v>
      </c>
      <c r="L88" s="33">
        <v>0</v>
      </c>
      <c r="M88" s="1"/>
      <c r="N88" s="38"/>
      <c r="O88" s="44"/>
      <c r="P88" s="44"/>
      <c r="Q88" s="65"/>
      <c r="R88" s="69"/>
      <c r="S88" s="74"/>
      <c r="T88" s="49"/>
      <c r="U88" s="56">
        <v>5.09</v>
      </c>
      <c r="V88" s="56">
        <v>6</v>
      </c>
      <c r="W88" s="1">
        <v>3.4</v>
      </c>
      <c r="X88" s="28">
        <v>2.302</v>
      </c>
      <c r="Y88" s="60">
        <v>14.9</v>
      </c>
      <c r="Z88" s="1">
        <v>77</v>
      </c>
      <c r="AA88" s="60">
        <v>1.2</v>
      </c>
      <c r="AB88" s="1">
        <v>93</v>
      </c>
      <c r="AC88" s="1">
        <v>60</v>
      </c>
      <c r="AD88" s="1">
        <v>41</v>
      </c>
      <c r="AE88" s="36">
        <v>5.9</v>
      </c>
    </row>
    <row r="89" spans="1:31" x14ac:dyDescent="0.2">
      <c r="A89" s="1">
        <v>9</v>
      </c>
      <c r="B89" s="1" t="s">
        <v>52</v>
      </c>
      <c r="C89" s="28">
        <v>2.3839999999999999</v>
      </c>
      <c r="D89" s="1">
        <v>12.5</v>
      </c>
      <c r="E89" s="1">
        <v>2</v>
      </c>
      <c r="F89" s="1">
        <v>1</v>
      </c>
      <c r="G89" s="11">
        <v>2.8254999999999999</v>
      </c>
      <c r="H89" s="12">
        <v>1.57</v>
      </c>
      <c r="I89" s="13">
        <v>2.8315000000000001</v>
      </c>
      <c r="J89" s="18">
        <f t="shared" si="3"/>
        <v>2.2397938961553705</v>
      </c>
      <c r="K89" s="18">
        <f t="shared" si="2"/>
        <v>6.0489137518720426</v>
      </c>
      <c r="L89" s="33">
        <v>400</v>
      </c>
      <c r="M89" s="1">
        <v>1</v>
      </c>
      <c r="N89" s="38">
        <v>45472</v>
      </c>
      <c r="O89" s="44">
        <v>2158</v>
      </c>
      <c r="P89" s="44">
        <v>5387</v>
      </c>
      <c r="Q89" s="65">
        <v>0.91</v>
      </c>
      <c r="R89" s="69">
        <v>1123.5</v>
      </c>
      <c r="S89" s="74">
        <v>2488</v>
      </c>
      <c r="T89" s="49">
        <v>778840</v>
      </c>
      <c r="U89" s="56">
        <v>5.09</v>
      </c>
      <c r="V89" s="56">
        <v>6</v>
      </c>
      <c r="W89" s="1">
        <v>3.4</v>
      </c>
      <c r="X89" s="28">
        <v>2.302</v>
      </c>
      <c r="Y89" s="60">
        <v>14.9</v>
      </c>
      <c r="Z89" s="1">
        <v>77</v>
      </c>
      <c r="AA89" s="60">
        <v>1.2</v>
      </c>
      <c r="AB89" s="1">
        <v>93</v>
      </c>
      <c r="AC89" s="1">
        <v>60</v>
      </c>
      <c r="AD89" s="1">
        <v>41</v>
      </c>
      <c r="AE89" s="36">
        <v>5.9</v>
      </c>
    </row>
    <row r="90" spans="1:31" x14ac:dyDescent="0.2">
      <c r="A90" s="1">
        <v>9</v>
      </c>
      <c r="B90" s="1" t="s">
        <v>52</v>
      </c>
      <c r="C90" s="28">
        <v>2.3839999999999999</v>
      </c>
      <c r="D90" s="1">
        <v>12.5</v>
      </c>
      <c r="E90" s="1">
        <v>2</v>
      </c>
      <c r="F90" s="1">
        <v>2</v>
      </c>
      <c r="G90" s="11">
        <v>2.8740000000000001</v>
      </c>
      <c r="H90" s="12">
        <v>1.59</v>
      </c>
      <c r="I90" s="13">
        <v>2.88</v>
      </c>
      <c r="J90" s="18">
        <f t="shared" si="3"/>
        <v>2.2279069767441864</v>
      </c>
      <c r="K90" s="18">
        <f t="shared" si="2"/>
        <v>6.5475261432807681</v>
      </c>
      <c r="L90" s="33">
        <v>400</v>
      </c>
      <c r="M90" s="1">
        <v>2</v>
      </c>
      <c r="N90" s="38">
        <v>45473</v>
      </c>
      <c r="O90" s="44">
        <v>2110</v>
      </c>
      <c r="P90" s="44">
        <v>5285</v>
      </c>
      <c r="Q90" s="65">
        <v>0.89600000000000002</v>
      </c>
      <c r="R90" s="69">
        <v>1110.9000000000001</v>
      </c>
      <c r="S90" s="74">
        <v>885</v>
      </c>
      <c r="T90" s="49">
        <v>465660</v>
      </c>
      <c r="U90" s="56">
        <v>5.09</v>
      </c>
      <c r="V90" s="56">
        <v>6</v>
      </c>
      <c r="W90" s="1">
        <v>3.4</v>
      </c>
      <c r="X90" s="28">
        <v>2.302</v>
      </c>
      <c r="Y90" s="60">
        <v>14.9</v>
      </c>
      <c r="Z90" s="1">
        <v>77</v>
      </c>
      <c r="AA90" s="60">
        <v>1.2</v>
      </c>
      <c r="AB90" s="1">
        <v>93</v>
      </c>
      <c r="AC90" s="1">
        <v>60</v>
      </c>
      <c r="AD90" s="1">
        <v>41</v>
      </c>
      <c r="AE90" s="36">
        <v>5.9</v>
      </c>
    </row>
    <row r="91" spans="1:31" x14ac:dyDescent="0.2">
      <c r="A91" s="1">
        <v>9</v>
      </c>
      <c r="B91" s="1" t="s">
        <v>52</v>
      </c>
      <c r="C91" s="28">
        <v>2.3839999999999999</v>
      </c>
      <c r="D91" s="1">
        <v>12.5</v>
      </c>
      <c r="E91" s="1">
        <v>2</v>
      </c>
      <c r="F91" s="1">
        <v>3</v>
      </c>
      <c r="G91" s="11">
        <v>2.8504999999999998</v>
      </c>
      <c r="H91" s="12">
        <v>1.5814999999999999</v>
      </c>
      <c r="I91" s="13">
        <v>2.8544999999999998</v>
      </c>
      <c r="J91" s="18">
        <f t="shared" si="3"/>
        <v>2.2391987431264728</v>
      </c>
      <c r="K91" s="18">
        <f t="shared" si="2"/>
        <v>6.073878224560703</v>
      </c>
      <c r="L91" s="33"/>
      <c r="M91" s="1"/>
      <c r="N91" s="38"/>
      <c r="O91" s="44"/>
      <c r="P91" s="44"/>
      <c r="Q91" s="65"/>
      <c r="R91" s="69"/>
      <c r="S91" s="74"/>
      <c r="T91" s="49"/>
      <c r="U91" s="56">
        <v>5.09</v>
      </c>
      <c r="V91" s="56">
        <v>6</v>
      </c>
      <c r="W91" s="1">
        <v>3.4</v>
      </c>
      <c r="X91" s="28">
        <v>2.302</v>
      </c>
      <c r="Y91" s="60">
        <v>14.9</v>
      </c>
      <c r="Z91" s="1">
        <v>77</v>
      </c>
      <c r="AA91" s="60">
        <v>1.2</v>
      </c>
      <c r="AB91" s="1">
        <v>93</v>
      </c>
      <c r="AC91" s="1">
        <v>60</v>
      </c>
      <c r="AD91" s="1">
        <v>41</v>
      </c>
      <c r="AE91" s="36">
        <v>5.9</v>
      </c>
    </row>
    <row r="92" spans="1:31" ht="16" thickBot="1" x14ac:dyDescent="0.25">
      <c r="A92" s="1">
        <v>9</v>
      </c>
      <c r="B92" s="1" t="s">
        <v>52</v>
      </c>
      <c r="C92" s="29">
        <v>2.3839999999999999</v>
      </c>
      <c r="D92" s="2">
        <v>12.5</v>
      </c>
      <c r="E92" s="2">
        <v>2</v>
      </c>
      <c r="F92" s="2">
        <v>4</v>
      </c>
      <c r="G92" s="16">
        <v>2.86</v>
      </c>
      <c r="H92" s="10">
        <v>1.5865</v>
      </c>
      <c r="I92" s="17">
        <v>2.8660000000000001</v>
      </c>
      <c r="J92" s="20">
        <f t="shared" si="3"/>
        <v>2.235248143806174</v>
      </c>
      <c r="K92" s="20">
        <f t="shared" si="2"/>
        <v>6.2395912832980631</v>
      </c>
      <c r="L92" s="34"/>
      <c r="M92" s="2"/>
      <c r="N92" s="39"/>
      <c r="O92" s="46"/>
      <c r="P92" s="46"/>
      <c r="Q92" s="66"/>
      <c r="R92" s="70"/>
      <c r="S92" s="76"/>
      <c r="T92" s="50"/>
      <c r="U92" s="57">
        <v>5.09</v>
      </c>
      <c r="V92" s="57">
        <v>6</v>
      </c>
      <c r="W92" s="2">
        <v>3.4</v>
      </c>
      <c r="X92" s="29">
        <v>2.302</v>
      </c>
      <c r="Y92" s="61">
        <v>14.9</v>
      </c>
      <c r="Z92" s="2">
        <v>77</v>
      </c>
      <c r="AA92" s="61">
        <v>1.2</v>
      </c>
      <c r="AB92" s="2">
        <v>93</v>
      </c>
      <c r="AC92" s="2">
        <v>60</v>
      </c>
      <c r="AD92" s="2">
        <v>41</v>
      </c>
      <c r="AE92" s="4">
        <v>5.9</v>
      </c>
    </row>
    <row r="93" spans="1:31" x14ac:dyDescent="0.2">
      <c r="A93" s="1">
        <v>10</v>
      </c>
      <c r="B93" s="1" t="s">
        <v>53</v>
      </c>
      <c r="C93" s="28">
        <v>2.3889999999999998</v>
      </c>
      <c r="D93" s="1">
        <v>19</v>
      </c>
      <c r="E93" s="26">
        <v>1</v>
      </c>
      <c r="F93" s="26">
        <v>0</v>
      </c>
      <c r="G93" s="21">
        <v>23.942</v>
      </c>
      <c r="H93" s="22">
        <v>13.254200000000001</v>
      </c>
      <c r="I93" s="23">
        <v>24.056999999999999</v>
      </c>
      <c r="J93" s="24">
        <f t="shared" si="3"/>
        <v>2.2162772614507356</v>
      </c>
      <c r="K93" s="24">
        <f t="shared" si="2"/>
        <v>7.2299178965786641</v>
      </c>
      <c r="L93" s="33">
        <v>0</v>
      </c>
      <c r="M93" s="1"/>
      <c r="N93" s="38"/>
      <c r="O93" s="44"/>
      <c r="P93" s="44"/>
      <c r="Q93" s="65"/>
      <c r="R93" s="69"/>
      <c r="S93" s="74"/>
      <c r="T93" s="49"/>
      <c r="U93" s="56">
        <v>4.95</v>
      </c>
      <c r="V93" s="56">
        <v>5.9</v>
      </c>
      <c r="W93" s="1">
        <v>3.5</v>
      </c>
      <c r="X93" s="28">
        <v>2.3069999999999999</v>
      </c>
      <c r="Y93" s="60">
        <v>14.6</v>
      </c>
      <c r="Z93" s="1">
        <v>76</v>
      </c>
      <c r="AA93" s="60">
        <v>1.1000000000000001</v>
      </c>
      <c r="AB93" s="1">
        <v>88</v>
      </c>
      <c r="AC93" s="1">
        <v>51</v>
      </c>
      <c r="AD93" s="1">
        <v>35</v>
      </c>
      <c r="AE93" s="36">
        <v>5.5</v>
      </c>
    </row>
    <row r="94" spans="1:31" x14ac:dyDescent="0.2">
      <c r="A94" s="1">
        <v>10</v>
      </c>
      <c r="B94" s="1" t="s">
        <v>53</v>
      </c>
      <c r="C94" s="28">
        <v>2.3889999999999998</v>
      </c>
      <c r="D94" s="1">
        <v>19</v>
      </c>
      <c r="E94" s="1">
        <v>1</v>
      </c>
      <c r="F94" s="1">
        <v>1</v>
      </c>
      <c r="G94" s="11">
        <v>2.7865000000000002</v>
      </c>
      <c r="H94" s="12">
        <v>1.5485</v>
      </c>
      <c r="I94" s="13">
        <v>2.7909999999999999</v>
      </c>
      <c r="J94" s="18">
        <f t="shared" si="3"/>
        <v>2.2426559356136821</v>
      </c>
      <c r="K94" s="18">
        <f t="shared" si="2"/>
        <v>6.1257456838140545</v>
      </c>
      <c r="L94" s="33">
        <v>600</v>
      </c>
      <c r="M94" s="1">
        <v>1</v>
      </c>
      <c r="N94" s="38">
        <v>45474</v>
      </c>
      <c r="O94" s="44">
        <v>3022</v>
      </c>
      <c r="P94" s="44">
        <v>5058</v>
      </c>
      <c r="Q94" s="65">
        <v>2.0339999999999998</v>
      </c>
      <c r="R94" s="69">
        <v>1536.3</v>
      </c>
      <c r="S94" s="74">
        <v>2928</v>
      </c>
      <c r="T94" s="49">
        <v>39250</v>
      </c>
      <c r="U94" s="56">
        <v>4.95</v>
      </c>
      <c r="V94" s="56">
        <v>5.9</v>
      </c>
      <c r="W94" s="1">
        <v>3.5</v>
      </c>
      <c r="X94" s="28">
        <v>2.3069999999999999</v>
      </c>
      <c r="Y94" s="60">
        <v>14.6</v>
      </c>
      <c r="Z94" s="1">
        <v>76</v>
      </c>
      <c r="AA94" s="60">
        <v>1.1000000000000001</v>
      </c>
      <c r="AB94" s="1">
        <v>88</v>
      </c>
      <c r="AC94" s="1">
        <v>51</v>
      </c>
      <c r="AD94" s="1">
        <v>35</v>
      </c>
      <c r="AE94" s="36">
        <v>5.5</v>
      </c>
    </row>
    <row r="95" spans="1:31" x14ac:dyDescent="0.2">
      <c r="A95" s="1">
        <v>10</v>
      </c>
      <c r="B95" s="1" t="s">
        <v>53</v>
      </c>
      <c r="C95" s="28">
        <v>2.3889999999999998</v>
      </c>
      <c r="D95" s="1">
        <v>19</v>
      </c>
      <c r="E95" s="1">
        <v>1</v>
      </c>
      <c r="F95" s="1">
        <v>2</v>
      </c>
      <c r="G95" s="11">
        <v>2.798</v>
      </c>
      <c r="H95" s="12">
        <v>1.554</v>
      </c>
      <c r="I95" s="13">
        <v>2.8014999999999999</v>
      </c>
      <c r="J95" s="18">
        <f t="shared" si="3"/>
        <v>2.2428857715430865</v>
      </c>
      <c r="K95" s="18">
        <f t="shared" si="2"/>
        <v>6.1161250923781214</v>
      </c>
      <c r="L95" s="33">
        <v>600</v>
      </c>
      <c r="M95" s="1">
        <v>2</v>
      </c>
      <c r="N95" s="38">
        <v>45474</v>
      </c>
      <c r="O95" s="44">
        <v>3572</v>
      </c>
      <c r="P95" s="44">
        <v>5942</v>
      </c>
      <c r="Q95" s="65">
        <v>2.0750000000000002</v>
      </c>
      <c r="R95" s="69">
        <v>1817.4</v>
      </c>
      <c r="S95" s="74">
        <v>3289</v>
      </c>
      <c r="T95" s="49">
        <v>43820</v>
      </c>
      <c r="U95" s="56">
        <v>4.95</v>
      </c>
      <c r="V95" s="56">
        <v>5.9</v>
      </c>
      <c r="W95" s="1">
        <v>3.5</v>
      </c>
      <c r="X95" s="28">
        <v>2.3069999999999999</v>
      </c>
      <c r="Y95" s="60">
        <v>14.6</v>
      </c>
      <c r="Z95" s="1">
        <v>76</v>
      </c>
      <c r="AA95" s="60">
        <v>1.1000000000000001</v>
      </c>
      <c r="AB95" s="1">
        <v>88</v>
      </c>
      <c r="AC95" s="1">
        <v>51</v>
      </c>
      <c r="AD95" s="1">
        <v>35</v>
      </c>
      <c r="AE95" s="36">
        <v>5.5</v>
      </c>
    </row>
    <row r="96" spans="1:31" x14ac:dyDescent="0.2">
      <c r="A96" s="1">
        <v>10</v>
      </c>
      <c r="B96" s="1" t="s">
        <v>53</v>
      </c>
      <c r="C96" s="28">
        <v>2.3889999999999998</v>
      </c>
      <c r="D96" s="1">
        <v>19</v>
      </c>
      <c r="E96" s="1">
        <v>1</v>
      </c>
      <c r="F96" s="1">
        <v>3</v>
      </c>
      <c r="G96" s="11">
        <v>2.8035000000000001</v>
      </c>
      <c r="H96" s="12">
        <v>1.5535000000000001</v>
      </c>
      <c r="I96" s="13">
        <v>2.8090000000000002</v>
      </c>
      <c r="J96" s="18">
        <f t="shared" si="3"/>
        <v>2.2329749103942653</v>
      </c>
      <c r="K96" s="18">
        <f t="shared" si="2"/>
        <v>6.5309790542375286</v>
      </c>
      <c r="L96" s="33">
        <v>600</v>
      </c>
      <c r="M96" s="1">
        <v>3</v>
      </c>
      <c r="N96" s="38">
        <v>45474</v>
      </c>
      <c r="O96" s="44">
        <v>3410</v>
      </c>
      <c r="P96" s="44">
        <v>5666</v>
      </c>
      <c r="Q96" s="65">
        <v>1.897</v>
      </c>
      <c r="R96" s="69">
        <v>1751.7</v>
      </c>
      <c r="S96" s="74">
        <v>3161</v>
      </c>
      <c r="T96" s="49">
        <v>38730</v>
      </c>
      <c r="U96" s="56">
        <v>4.95</v>
      </c>
      <c r="V96" s="56">
        <v>5.9</v>
      </c>
      <c r="W96" s="1">
        <v>3.5</v>
      </c>
      <c r="X96" s="28">
        <v>2.3069999999999999</v>
      </c>
      <c r="Y96" s="60">
        <v>14.6</v>
      </c>
      <c r="Z96" s="1">
        <v>76</v>
      </c>
      <c r="AA96" s="60">
        <v>1.1000000000000001</v>
      </c>
      <c r="AB96" s="1">
        <v>88</v>
      </c>
      <c r="AC96" s="1">
        <v>51</v>
      </c>
      <c r="AD96" s="1">
        <v>35</v>
      </c>
      <c r="AE96" s="36">
        <v>5.5</v>
      </c>
    </row>
    <row r="97" spans="1:31" x14ac:dyDescent="0.2">
      <c r="A97" s="1">
        <v>10</v>
      </c>
      <c r="B97" s="1" t="s">
        <v>53</v>
      </c>
      <c r="C97" s="28">
        <v>2.3889999999999998</v>
      </c>
      <c r="D97" s="1">
        <v>19</v>
      </c>
      <c r="E97" s="5">
        <v>1</v>
      </c>
      <c r="F97" s="5">
        <v>4</v>
      </c>
      <c r="G97" s="14">
        <v>2.7919999999999998</v>
      </c>
      <c r="H97" s="9">
        <v>1.5495000000000001</v>
      </c>
      <c r="I97" s="15">
        <v>2.7949999999999999</v>
      </c>
      <c r="J97" s="19">
        <f t="shared" si="3"/>
        <v>2.2416700120433561</v>
      </c>
      <c r="K97" s="19">
        <f t="shared" si="2"/>
        <v>6.167014983534691</v>
      </c>
      <c r="L97" s="41">
        <v>400</v>
      </c>
      <c r="M97" s="5">
        <v>4</v>
      </c>
      <c r="N97" s="42">
        <v>45474</v>
      </c>
      <c r="O97" s="47">
        <v>2584</v>
      </c>
      <c r="P97" s="47">
        <v>6472</v>
      </c>
      <c r="Q97" s="67">
        <v>0.90300000000000002</v>
      </c>
      <c r="R97" s="71">
        <v>1259.7</v>
      </c>
      <c r="S97" s="75">
        <v>3639</v>
      </c>
      <c r="T97" s="51">
        <v>641540</v>
      </c>
      <c r="U97" s="58">
        <v>4.95</v>
      </c>
      <c r="V97" s="58">
        <v>5.9</v>
      </c>
      <c r="W97" s="5">
        <v>3.5</v>
      </c>
      <c r="X97" s="53">
        <v>2.3069999999999999</v>
      </c>
      <c r="Y97" s="62">
        <v>14.6</v>
      </c>
      <c r="Z97" s="5">
        <v>76</v>
      </c>
      <c r="AA97" s="62">
        <v>1.1000000000000001</v>
      </c>
      <c r="AB97" s="5">
        <v>88</v>
      </c>
      <c r="AC97" s="5">
        <v>51</v>
      </c>
      <c r="AD97" s="5">
        <v>35</v>
      </c>
      <c r="AE97" s="43">
        <v>5.5</v>
      </c>
    </row>
    <row r="98" spans="1:31" x14ac:dyDescent="0.2">
      <c r="A98" s="1">
        <v>10</v>
      </c>
      <c r="B98" s="1" t="s">
        <v>54</v>
      </c>
      <c r="C98" s="28">
        <v>2.3889999999999998</v>
      </c>
      <c r="D98" s="1">
        <v>19</v>
      </c>
      <c r="E98" s="26">
        <v>2</v>
      </c>
      <c r="F98" s="26">
        <v>0</v>
      </c>
      <c r="G98" s="21">
        <v>24.018000000000001</v>
      </c>
      <c r="H98" s="22">
        <v>13.279</v>
      </c>
      <c r="I98" s="23">
        <v>24.1265</v>
      </c>
      <c r="J98" s="24">
        <f t="shared" si="3"/>
        <v>2.2141507259737265</v>
      </c>
      <c r="K98" s="24">
        <f t="shared" si="2"/>
        <v>7.318931520563976</v>
      </c>
      <c r="L98" s="33">
        <v>0</v>
      </c>
      <c r="M98" s="1"/>
      <c r="N98" s="38"/>
      <c r="O98" s="44"/>
      <c r="P98" s="44"/>
      <c r="Q98" s="65"/>
      <c r="R98" s="69"/>
      <c r="S98" s="74"/>
      <c r="T98" s="49"/>
      <c r="U98" s="56">
        <v>4.95</v>
      </c>
      <c r="V98" s="56">
        <v>5.9</v>
      </c>
      <c r="W98" s="1">
        <v>3.5</v>
      </c>
      <c r="X98" s="28">
        <v>2.3069999999999999</v>
      </c>
      <c r="Y98" s="60">
        <v>14.6</v>
      </c>
      <c r="Z98" s="1">
        <v>76</v>
      </c>
      <c r="AA98" s="60">
        <v>1.1000000000000001</v>
      </c>
      <c r="AB98" s="1">
        <v>88</v>
      </c>
      <c r="AC98" s="1">
        <v>51</v>
      </c>
      <c r="AD98" s="1">
        <v>35</v>
      </c>
      <c r="AE98" s="36">
        <v>5.5</v>
      </c>
    </row>
    <row r="99" spans="1:31" x14ac:dyDescent="0.2">
      <c r="A99" s="1">
        <v>10</v>
      </c>
      <c r="B99" s="1" t="s">
        <v>54</v>
      </c>
      <c r="C99" s="28">
        <v>2.3889999999999998</v>
      </c>
      <c r="D99" s="1">
        <v>19</v>
      </c>
      <c r="E99" s="1">
        <v>2</v>
      </c>
      <c r="F99" s="1">
        <v>1</v>
      </c>
      <c r="G99" s="11">
        <v>2.7985000000000002</v>
      </c>
      <c r="H99" s="12">
        <v>1.5489999999999999</v>
      </c>
      <c r="I99" s="13">
        <v>2.8</v>
      </c>
      <c r="J99" s="18">
        <f t="shared" si="3"/>
        <v>2.2370103916866508</v>
      </c>
      <c r="K99" s="18">
        <f t="shared" si="2"/>
        <v>6.3620597870803213</v>
      </c>
      <c r="L99" s="33">
        <v>400</v>
      </c>
      <c r="M99" s="1">
        <v>1</v>
      </c>
      <c r="N99" s="38">
        <v>45475</v>
      </c>
      <c r="O99" s="44">
        <v>2529</v>
      </c>
      <c r="P99" s="44">
        <v>6315</v>
      </c>
      <c r="Q99" s="65">
        <v>0.84599999999999997</v>
      </c>
      <c r="R99" s="69">
        <v>1267.7</v>
      </c>
      <c r="S99" s="74">
        <v>1894</v>
      </c>
      <c r="T99" s="49">
        <v>275000</v>
      </c>
      <c r="U99" s="56">
        <v>4.95</v>
      </c>
      <c r="V99" s="56">
        <v>5.9</v>
      </c>
      <c r="W99" s="1">
        <v>3.5</v>
      </c>
      <c r="X99" s="28">
        <v>2.3069999999999999</v>
      </c>
      <c r="Y99" s="60">
        <v>14.6</v>
      </c>
      <c r="Z99" s="1">
        <v>76</v>
      </c>
      <c r="AA99" s="60">
        <v>1.1000000000000001</v>
      </c>
      <c r="AB99" s="1">
        <v>88</v>
      </c>
      <c r="AC99" s="1">
        <v>51</v>
      </c>
      <c r="AD99" s="1">
        <v>35</v>
      </c>
      <c r="AE99" s="36">
        <v>5.5</v>
      </c>
    </row>
    <row r="100" spans="1:31" x14ac:dyDescent="0.2">
      <c r="A100" s="1">
        <v>10</v>
      </c>
      <c r="B100" s="1" t="s">
        <v>54</v>
      </c>
      <c r="C100" s="28">
        <v>2.3889999999999998</v>
      </c>
      <c r="D100" s="1">
        <v>19</v>
      </c>
      <c r="E100" s="1">
        <v>2</v>
      </c>
      <c r="F100" s="1">
        <v>2</v>
      </c>
      <c r="G100" s="11">
        <v>2.8109999999999999</v>
      </c>
      <c r="H100" s="12">
        <v>1.546</v>
      </c>
      <c r="I100" s="13">
        <v>2.806</v>
      </c>
      <c r="J100" s="18">
        <f t="shared" si="3"/>
        <v>2.230952380952381</v>
      </c>
      <c r="K100" s="18">
        <f t="shared" si="2"/>
        <v>6.6156391397077741</v>
      </c>
      <c r="L100" s="33">
        <v>400</v>
      </c>
      <c r="M100" s="1">
        <v>2</v>
      </c>
      <c r="N100" s="38">
        <v>45476</v>
      </c>
      <c r="O100" s="44">
        <v>2664</v>
      </c>
      <c r="P100" s="44">
        <v>6670</v>
      </c>
      <c r="Q100" s="65">
        <v>0.88</v>
      </c>
      <c r="R100" s="69">
        <v>1314.5</v>
      </c>
      <c r="S100" s="74">
        <v>3924</v>
      </c>
      <c r="T100" s="49">
        <v>316070</v>
      </c>
      <c r="U100" s="56">
        <v>4.95</v>
      </c>
      <c r="V100" s="56">
        <v>5.9</v>
      </c>
      <c r="W100" s="1">
        <v>3.5</v>
      </c>
      <c r="X100" s="28">
        <v>2.3069999999999999</v>
      </c>
      <c r="Y100" s="60">
        <v>14.6</v>
      </c>
      <c r="Z100" s="1">
        <v>76</v>
      </c>
      <c r="AA100" s="60">
        <v>1.1000000000000001</v>
      </c>
      <c r="AB100" s="1">
        <v>88</v>
      </c>
      <c r="AC100" s="1">
        <v>51</v>
      </c>
      <c r="AD100" s="1">
        <v>35</v>
      </c>
      <c r="AE100" s="36">
        <v>5.5</v>
      </c>
    </row>
    <row r="101" spans="1:31" x14ac:dyDescent="0.2">
      <c r="A101" s="1">
        <v>10</v>
      </c>
      <c r="B101" s="1" t="s">
        <v>54</v>
      </c>
      <c r="C101" s="28">
        <v>2.3889999999999998</v>
      </c>
      <c r="D101" s="1">
        <v>19</v>
      </c>
      <c r="E101" s="1">
        <v>2</v>
      </c>
      <c r="F101" s="1">
        <v>3</v>
      </c>
      <c r="G101" s="11">
        <v>2.786</v>
      </c>
      <c r="H101" s="12">
        <v>1.5488999999999999</v>
      </c>
      <c r="I101" s="13">
        <v>2.7949999999999999</v>
      </c>
      <c r="J101" s="18">
        <f t="shared" si="3"/>
        <v>2.2357756199341949</v>
      </c>
      <c r="K101" s="18">
        <f t="shared" si="2"/>
        <v>6.4137455029637858</v>
      </c>
      <c r="L101" s="33"/>
      <c r="M101" s="1"/>
      <c r="N101" s="38"/>
      <c r="O101" s="44"/>
      <c r="P101" s="44"/>
      <c r="Q101" s="65"/>
      <c r="R101" s="69"/>
      <c r="S101" s="74"/>
      <c r="T101" s="49"/>
      <c r="U101" s="56">
        <v>4.95</v>
      </c>
      <c r="V101" s="56">
        <v>5.9</v>
      </c>
      <c r="W101" s="1">
        <v>3.5</v>
      </c>
      <c r="X101" s="28">
        <v>2.3069999999999999</v>
      </c>
      <c r="Y101" s="60">
        <v>14.6</v>
      </c>
      <c r="Z101" s="1">
        <v>76</v>
      </c>
      <c r="AA101" s="60">
        <v>1.1000000000000001</v>
      </c>
      <c r="AB101" s="1">
        <v>88</v>
      </c>
      <c r="AC101" s="1">
        <v>51</v>
      </c>
      <c r="AD101" s="1">
        <v>35</v>
      </c>
      <c r="AE101" s="36">
        <v>5.5</v>
      </c>
    </row>
    <row r="102" spans="1:31" ht="16" thickBot="1" x14ac:dyDescent="0.25">
      <c r="A102" s="1">
        <v>10</v>
      </c>
      <c r="B102" s="1" t="s">
        <v>54</v>
      </c>
      <c r="C102" s="29">
        <v>2.3889999999999998</v>
      </c>
      <c r="D102" s="2">
        <v>19</v>
      </c>
      <c r="E102" s="2">
        <v>2</v>
      </c>
      <c r="F102" s="2">
        <v>4</v>
      </c>
      <c r="G102" s="16">
        <v>2.7930000000000001</v>
      </c>
      <c r="H102" s="10">
        <v>1.552</v>
      </c>
      <c r="I102" s="17">
        <v>2.8050000000000002</v>
      </c>
      <c r="J102" s="20">
        <f t="shared" si="3"/>
        <v>2.2290502793296088</v>
      </c>
      <c r="K102" s="20">
        <f t="shared" si="2"/>
        <v>6.6952582951189221</v>
      </c>
      <c r="L102" s="34"/>
      <c r="M102" s="2"/>
      <c r="N102" s="39"/>
      <c r="O102" s="46"/>
      <c r="P102" s="46"/>
      <c r="Q102" s="66"/>
      <c r="R102" s="70"/>
      <c r="S102" s="76"/>
      <c r="T102" s="50"/>
      <c r="U102" s="57">
        <v>4.95</v>
      </c>
      <c r="V102" s="57">
        <v>5.9</v>
      </c>
      <c r="W102" s="2">
        <v>3.5</v>
      </c>
      <c r="X102" s="29">
        <v>2.3069999999999999</v>
      </c>
      <c r="Y102" s="61">
        <v>14.6</v>
      </c>
      <c r="Z102" s="2">
        <v>76</v>
      </c>
      <c r="AA102" s="61">
        <v>1.1000000000000001</v>
      </c>
      <c r="AB102" s="2">
        <v>88</v>
      </c>
      <c r="AC102" s="2">
        <v>51</v>
      </c>
      <c r="AD102" s="2">
        <v>35</v>
      </c>
      <c r="AE102" s="4">
        <v>5.5</v>
      </c>
    </row>
    <row r="103" spans="1:31" x14ac:dyDescent="0.2">
      <c r="A103" s="1">
        <v>11</v>
      </c>
      <c r="B103" s="1" t="s">
        <v>55</v>
      </c>
      <c r="C103" s="28">
        <v>2.3730000000000002</v>
      </c>
      <c r="D103" s="1">
        <v>12.5</v>
      </c>
      <c r="E103" s="26">
        <v>1</v>
      </c>
      <c r="F103" s="26">
        <v>0</v>
      </c>
      <c r="G103" s="21">
        <v>23.834</v>
      </c>
      <c r="H103" s="22">
        <v>13.231999999999999</v>
      </c>
      <c r="I103" s="23">
        <v>24.151499999999999</v>
      </c>
      <c r="J103" s="24">
        <f t="shared" si="3"/>
        <v>2.182700673107743</v>
      </c>
      <c r="K103" s="24">
        <f t="shared" si="2"/>
        <v>8.0193563797832823</v>
      </c>
      <c r="L103" s="33">
        <v>0</v>
      </c>
      <c r="M103" s="1"/>
      <c r="N103" s="38"/>
      <c r="O103" s="44"/>
      <c r="P103" s="44"/>
      <c r="Q103" s="65"/>
      <c r="R103" s="69"/>
      <c r="S103" s="74"/>
      <c r="T103" s="49"/>
      <c r="U103" s="56">
        <v>5.3</v>
      </c>
      <c r="V103" s="56">
        <v>6.1</v>
      </c>
      <c r="W103" s="1">
        <v>3.3</v>
      </c>
      <c r="X103" s="28">
        <v>2.2959999999999998</v>
      </c>
      <c r="Y103" s="60">
        <v>15.1</v>
      </c>
      <c r="Z103" s="1">
        <v>78</v>
      </c>
      <c r="AA103" s="60">
        <v>1.1000000000000001</v>
      </c>
      <c r="AB103" s="1">
        <v>93</v>
      </c>
      <c r="AC103" s="1">
        <v>58</v>
      </c>
      <c r="AD103" s="1">
        <v>40</v>
      </c>
      <c r="AE103" s="36">
        <v>5.8</v>
      </c>
    </row>
    <row r="104" spans="1:31" x14ac:dyDescent="0.2">
      <c r="A104" s="1">
        <v>11</v>
      </c>
      <c r="B104" s="1" t="s">
        <v>55</v>
      </c>
      <c r="C104" s="28">
        <v>2.3730000000000002</v>
      </c>
      <c r="D104" s="1">
        <v>12.5</v>
      </c>
      <c r="E104" s="1">
        <v>1</v>
      </c>
      <c r="F104" s="1">
        <v>1</v>
      </c>
      <c r="G104" s="11">
        <v>2.7284999999999999</v>
      </c>
      <c r="H104" s="12">
        <v>1.5</v>
      </c>
      <c r="I104" s="13">
        <v>2.73</v>
      </c>
      <c r="J104" s="18">
        <f t="shared" si="3"/>
        <v>2.2182926829268292</v>
      </c>
      <c r="K104" s="18">
        <f t="shared" si="2"/>
        <v>6.5194823882499309</v>
      </c>
      <c r="L104" s="33">
        <v>400</v>
      </c>
      <c r="M104" s="1">
        <v>1</v>
      </c>
      <c r="N104" s="38">
        <v>45476</v>
      </c>
      <c r="O104" s="44">
        <v>1918</v>
      </c>
      <c r="P104" s="44">
        <v>4806</v>
      </c>
      <c r="Q104" s="65">
        <v>0.66400000000000003</v>
      </c>
      <c r="R104" s="69">
        <v>993.5</v>
      </c>
      <c r="S104" s="74">
        <v>2318</v>
      </c>
      <c r="T104" s="49">
        <v>563500</v>
      </c>
      <c r="U104" s="56">
        <v>5.3</v>
      </c>
      <c r="V104" s="56">
        <v>6.1</v>
      </c>
      <c r="W104" s="1">
        <v>3.3</v>
      </c>
      <c r="X104" s="28">
        <v>2.2959999999999998</v>
      </c>
      <c r="Y104" s="60">
        <v>15.1</v>
      </c>
      <c r="Z104" s="1">
        <v>78</v>
      </c>
      <c r="AA104" s="60">
        <v>1.1000000000000001</v>
      </c>
      <c r="AB104" s="1">
        <v>93</v>
      </c>
      <c r="AC104" s="1">
        <v>58</v>
      </c>
      <c r="AD104" s="1">
        <v>40</v>
      </c>
      <c r="AE104" s="36">
        <v>5.8</v>
      </c>
    </row>
    <row r="105" spans="1:31" x14ac:dyDescent="0.2">
      <c r="A105" s="1">
        <v>11</v>
      </c>
      <c r="B105" s="1" t="s">
        <v>55</v>
      </c>
      <c r="C105" s="28">
        <v>2.3730000000000002</v>
      </c>
      <c r="D105" s="1">
        <v>12.5</v>
      </c>
      <c r="E105" s="1">
        <v>1</v>
      </c>
      <c r="F105" s="1">
        <v>2</v>
      </c>
      <c r="G105" s="11">
        <v>2.7715000000000001</v>
      </c>
      <c r="H105" s="12">
        <v>1.5365</v>
      </c>
      <c r="I105" s="13">
        <v>2.7845</v>
      </c>
      <c r="J105" s="18">
        <f t="shared" si="3"/>
        <v>2.2207532051282053</v>
      </c>
      <c r="K105" s="18">
        <f t="shared" si="2"/>
        <v>6.4157941370330818</v>
      </c>
      <c r="L105" s="33">
        <v>600</v>
      </c>
      <c r="M105" s="1">
        <v>2</v>
      </c>
      <c r="N105" s="38">
        <v>45477</v>
      </c>
      <c r="O105" s="44">
        <v>2861</v>
      </c>
      <c r="P105" s="44">
        <v>4747</v>
      </c>
      <c r="Q105" s="65">
        <v>1.4810000000000001</v>
      </c>
      <c r="R105" s="69">
        <v>1509.1</v>
      </c>
      <c r="S105" s="74">
        <v>2083</v>
      </c>
      <c r="T105" s="49">
        <v>56930</v>
      </c>
      <c r="U105" s="56">
        <v>5.3</v>
      </c>
      <c r="V105" s="56">
        <v>6.1</v>
      </c>
      <c r="W105" s="1">
        <v>3.3</v>
      </c>
      <c r="X105" s="28">
        <v>2.2959999999999998</v>
      </c>
      <c r="Y105" s="60">
        <v>15.1</v>
      </c>
      <c r="Z105" s="1">
        <v>78</v>
      </c>
      <c r="AA105" s="60">
        <v>1.1000000000000001</v>
      </c>
      <c r="AB105" s="1">
        <v>93</v>
      </c>
      <c r="AC105" s="1">
        <v>58</v>
      </c>
      <c r="AD105" s="1">
        <v>40</v>
      </c>
      <c r="AE105" s="36">
        <v>5.8</v>
      </c>
    </row>
    <row r="106" spans="1:31" x14ac:dyDescent="0.2">
      <c r="A106" s="1">
        <v>11</v>
      </c>
      <c r="B106" s="1" t="s">
        <v>55</v>
      </c>
      <c r="C106" s="28">
        <v>2.3730000000000002</v>
      </c>
      <c r="D106" s="1">
        <v>12.5</v>
      </c>
      <c r="E106" s="1">
        <v>1</v>
      </c>
      <c r="F106" s="1">
        <v>3</v>
      </c>
      <c r="G106" s="11">
        <v>2.7875000000000001</v>
      </c>
      <c r="H106" s="12">
        <v>1.5425</v>
      </c>
      <c r="I106" s="13">
        <v>2.7959999999999998</v>
      </c>
      <c r="J106" s="18">
        <f t="shared" si="3"/>
        <v>2.2237734343837259</v>
      </c>
      <c r="K106" s="18">
        <f t="shared" si="2"/>
        <v>6.2885194107153097</v>
      </c>
      <c r="L106" s="33">
        <v>600</v>
      </c>
      <c r="M106" s="1">
        <v>3</v>
      </c>
      <c r="N106" s="38">
        <v>45477</v>
      </c>
      <c r="O106" s="44">
        <v>3001</v>
      </c>
      <c r="P106" s="44">
        <v>5010</v>
      </c>
      <c r="Q106" s="65">
        <v>1.6579999999999999</v>
      </c>
      <c r="R106" s="69">
        <v>1580.1</v>
      </c>
      <c r="S106" s="74">
        <v>1502</v>
      </c>
      <c r="T106" s="49">
        <v>104470</v>
      </c>
      <c r="U106" s="56">
        <v>5.3</v>
      </c>
      <c r="V106" s="56">
        <v>6.1</v>
      </c>
      <c r="W106" s="1">
        <v>3.3</v>
      </c>
      <c r="X106" s="28">
        <v>2.2959999999999998</v>
      </c>
      <c r="Y106" s="60">
        <v>15.1</v>
      </c>
      <c r="Z106" s="1">
        <v>78</v>
      </c>
      <c r="AA106" s="60">
        <v>1.1000000000000001</v>
      </c>
      <c r="AB106" s="1">
        <v>93</v>
      </c>
      <c r="AC106" s="1">
        <v>58</v>
      </c>
      <c r="AD106" s="1">
        <v>40</v>
      </c>
      <c r="AE106" s="36">
        <v>5.8</v>
      </c>
    </row>
    <row r="107" spans="1:31" x14ac:dyDescent="0.2">
      <c r="A107" s="1">
        <v>11</v>
      </c>
      <c r="B107" s="1" t="s">
        <v>55</v>
      </c>
      <c r="C107" s="28">
        <v>2.3730000000000002</v>
      </c>
      <c r="D107" s="1">
        <v>12.5</v>
      </c>
      <c r="E107" s="5">
        <v>1</v>
      </c>
      <c r="F107" s="5">
        <v>4</v>
      </c>
      <c r="G107" s="14">
        <v>2.8140000000000001</v>
      </c>
      <c r="H107" s="9">
        <v>1.5575000000000001</v>
      </c>
      <c r="I107" s="15">
        <v>2.823</v>
      </c>
      <c r="J107" s="19">
        <f t="shared" si="3"/>
        <v>2.2236270248913477</v>
      </c>
      <c r="K107" s="19">
        <f t="shared" si="2"/>
        <v>6.2946892165466668</v>
      </c>
      <c r="L107" s="41">
        <v>600</v>
      </c>
      <c r="M107" s="5">
        <v>4</v>
      </c>
      <c r="N107" s="42">
        <v>45477</v>
      </c>
      <c r="O107" s="47">
        <v>3200</v>
      </c>
      <c r="P107" s="47">
        <v>5324</v>
      </c>
      <c r="Q107" s="67">
        <v>1.76</v>
      </c>
      <c r="R107" s="71">
        <v>1613.3</v>
      </c>
      <c r="S107" s="75">
        <v>2887</v>
      </c>
      <c r="T107" s="51">
        <v>36330</v>
      </c>
      <c r="U107" s="58">
        <v>5.3</v>
      </c>
      <c r="V107" s="58">
        <v>6.1</v>
      </c>
      <c r="W107" s="5">
        <v>3.3</v>
      </c>
      <c r="X107" s="53">
        <v>2.2959999999999998</v>
      </c>
      <c r="Y107" s="62">
        <v>15.1</v>
      </c>
      <c r="Z107" s="5">
        <v>78</v>
      </c>
      <c r="AA107" s="62">
        <v>1.1000000000000001</v>
      </c>
      <c r="AB107" s="5">
        <v>93</v>
      </c>
      <c r="AC107" s="5">
        <v>58</v>
      </c>
      <c r="AD107" s="5">
        <v>40</v>
      </c>
      <c r="AE107" s="43">
        <v>5.8</v>
      </c>
    </row>
    <row r="108" spans="1:31" x14ac:dyDescent="0.2">
      <c r="A108" s="1">
        <v>11</v>
      </c>
      <c r="B108" s="1" t="s">
        <v>56</v>
      </c>
      <c r="C108" s="28">
        <v>2.3730000000000002</v>
      </c>
      <c r="D108" s="1">
        <v>12.5</v>
      </c>
      <c r="E108" s="26">
        <v>2</v>
      </c>
      <c r="F108" s="26">
        <v>0</v>
      </c>
      <c r="G108" s="21">
        <v>24.012499999999999</v>
      </c>
      <c r="H108" s="22">
        <v>13.335000000000001</v>
      </c>
      <c r="I108" s="23">
        <v>24.263999999999999</v>
      </c>
      <c r="J108" s="24">
        <f t="shared" si="3"/>
        <v>2.1971360600237904</v>
      </c>
      <c r="K108" s="24">
        <f t="shared" si="2"/>
        <v>7.4110383470800567</v>
      </c>
      <c r="L108" s="33">
        <v>0</v>
      </c>
      <c r="M108" s="1"/>
      <c r="N108" s="38"/>
      <c r="O108" s="44"/>
      <c r="P108" s="44"/>
      <c r="Q108" s="65"/>
      <c r="R108" s="69"/>
      <c r="S108" s="74"/>
      <c r="T108" s="49"/>
      <c r="U108" s="56">
        <v>5.3</v>
      </c>
      <c r="V108" s="56">
        <v>6.1</v>
      </c>
      <c r="W108" s="1">
        <v>3.3</v>
      </c>
      <c r="X108" s="28">
        <v>2.2959999999999998</v>
      </c>
      <c r="Y108" s="60">
        <v>15.1</v>
      </c>
      <c r="Z108" s="1">
        <v>78</v>
      </c>
      <c r="AA108" s="60">
        <v>1.1000000000000001</v>
      </c>
      <c r="AB108" s="1">
        <v>93</v>
      </c>
      <c r="AC108" s="1">
        <v>58</v>
      </c>
      <c r="AD108" s="1">
        <v>40</v>
      </c>
      <c r="AE108" s="36">
        <v>5.8</v>
      </c>
    </row>
    <row r="109" spans="1:31" x14ac:dyDescent="0.2">
      <c r="A109" s="1">
        <v>11</v>
      </c>
      <c r="B109" s="1" t="s">
        <v>56</v>
      </c>
      <c r="C109" s="28">
        <v>2.3730000000000002</v>
      </c>
      <c r="D109" s="1">
        <v>12.5</v>
      </c>
      <c r="E109" s="1">
        <v>2</v>
      </c>
      <c r="F109" s="1">
        <v>1</v>
      </c>
      <c r="G109" s="11">
        <v>2.81</v>
      </c>
      <c r="H109" s="12">
        <v>1.5645</v>
      </c>
      <c r="I109" s="13">
        <v>2.8294999999999999</v>
      </c>
      <c r="J109" s="18">
        <f t="shared" si="3"/>
        <v>2.2213438735177866</v>
      </c>
      <c r="K109" s="18">
        <f t="shared" si="2"/>
        <v>6.3909029280326042</v>
      </c>
      <c r="L109" s="33">
        <v>400</v>
      </c>
      <c r="M109" s="1">
        <v>1</v>
      </c>
      <c r="N109" s="38">
        <v>45477</v>
      </c>
      <c r="O109" s="44">
        <v>2893</v>
      </c>
      <c r="P109" s="44">
        <v>7228</v>
      </c>
      <c r="Q109" s="65">
        <v>0.67</v>
      </c>
      <c r="R109" s="69">
        <v>1452.7</v>
      </c>
      <c r="S109" s="74">
        <v>2159</v>
      </c>
      <c r="T109" s="49">
        <v>350000</v>
      </c>
      <c r="U109" s="56">
        <v>5.3</v>
      </c>
      <c r="V109" s="56">
        <v>6.1</v>
      </c>
      <c r="W109" s="1">
        <v>3.3</v>
      </c>
      <c r="X109" s="28">
        <v>2.2959999999999998</v>
      </c>
      <c r="Y109" s="60">
        <v>15.1</v>
      </c>
      <c r="Z109" s="1">
        <v>78</v>
      </c>
      <c r="AA109" s="60">
        <v>1.1000000000000001</v>
      </c>
      <c r="AB109" s="1">
        <v>93</v>
      </c>
      <c r="AC109" s="1">
        <v>58</v>
      </c>
      <c r="AD109" s="1">
        <v>40</v>
      </c>
      <c r="AE109" s="36">
        <v>5.8</v>
      </c>
    </row>
    <row r="110" spans="1:31" x14ac:dyDescent="0.2">
      <c r="A110" s="1">
        <v>11</v>
      </c>
      <c r="B110" s="1" t="s">
        <v>56</v>
      </c>
      <c r="C110" s="28">
        <v>2.3730000000000002</v>
      </c>
      <c r="D110" s="1">
        <v>12.5</v>
      </c>
      <c r="E110" s="1">
        <v>2</v>
      </c>
      <c r="F110" s="1">
        <v>2</v>
      </c>
      <c r="G110" s="11">
        <v>2.7965</v>
      </c>
      <c r="H110" s="12">
        <v>1.5565</v>
      </c>
      <c r="I110" s="13">
        <v>2.8170000000000002</v>
      </c>
      <c r="J110" s="18">
        <f t="shared" si="3"/>
        <v>2.2185640618802061</v>
      </c>
      <c r="K110" s="18">
        <f t="shared" si="2"/>
        <v>6.5080462755918278</v>
      </c>
      <c r="L110" s="33">
        <v>400</v>
      </c>
      <c r="M110" s="1">
        <v>2</v>
      </c>
      <c r="N110" s="38">
        <v>45478</v>
      </c>
      <c r="O110" s="44">
        <v>2607</v>
      </c>
      <c r="P110" s="44">
        <v>6515</v>
      </c>
      <c r="Q110" s="65">
        <v>0.754</v>
      </c>
      <c r="R110" s="69">
        <v>1347</v>
      </c>
      <c r="S110" s="74">
        <v>4126</v>
      </c>
      <c r="T110" s="49">
        <v>306700</v>
      </c>
      <c r="U110" s="56">
        <v>5.3</v>
      </c>
      <c r="V110" s="56">
        <v>6.1</v>
      </c>
      <c r="W110" s="1">
        <v>3.3</v>
      </c>
      <c r="X110" s="28">
        <v>2.2959999999999998</v>
      </c>
      <c r="Y110" s="60">
        <v>15.1</v>
      </c>
      <c r="Z110" s="1">
        <v>78</v>
      </c>
      <c r="AA110" s="60">
        <v>1.1000000000000001</v>
      </c>
      <c r="AB110" s="1">
        <v>93</v>
      </c>
      <c r="AC110" s="1">
        <v>58</v>
      </c>
      <c r="AD110" s="1">
        <v>40</v>
      </c>
      <c r="AE110" s="36">
        <v>5.8</v>
      </c>
    </row>
    <row r="111" spans="1:31" x14ac:dyDescent="0.2">
      <c r="A111" s="1">
        <v>11</v>
      </c>
      <c r="B111" s="1" t="s">
        <v>56</v>
      </c>
      <c r="C111" s="28">
        <v>2.3730000000000002</v>
      </c>
      <c r="D111" s="1">
        <v>12.5</v>
      </c>
      <c r="E111" s="1">
        <v>2</v>
      </c>
      <c r="F111" s="1">
        <v>3</v>
      </c>
      <c r="G111" s="11">
        <v>2.8134999999999999</v>
      </c>
      <c r="H111" s="12">
        <v>1.5625</v>
      </c>
      <c r="I111" s="13">
        <v>2.8279999999999998</v>
      </c>
      <c r="J111" s="18">
        <f t="shared" si="3"/>
        <v>2.2232319241406562</v>
      </c>
      <c r="K111" s="18">
        <f t="shared" si="2"/>
        <v>6.311339058548004</v>
      </c>
      <c r="L111" s="33"/>
      <c r="M111" s="1"/>
      <c r="N111" s="38"/>
      <c r="O111" s="44"/>
      <c r="P111" s="44"/>
      <c r="Q111" s="65"/>
      <c r="R111" s="69"/>
      <c r="S111" s="74"/>
      <c r="T111" s="49"/>
      <c r="U111" s="56">
        <v>5.3</v>
      </c>
      <c r="V111" s="56">
        <v>6.1</v>
      </c>
      <c r="W111" s="1">
        <v>3.3</v>
      </c>
      <c r="X111" s="28">
        <v>2.2959999999999998</v>
      </c>
      <c r="Y111" s="60">
        <v>15.1</v>
      </c>
      <c r="Z111" s="1">
        <v>78</v>
      </c>
      <c r="AA111" s="60">
        <v>1.1000000000000001</v>
      </c>
      <c r="AB111" s="1">
        <v>93</v>
      </c>
      <c r="AC111" s="1">
        <v>58</v>
      </c>
      <c r="AD111" s="1">
        <v>40</v>
      </c>
      <c r="AE111" s="36">
        <v>5.8</v>
      </c>
    </row>
    <row r="112" spans="1:31" ht="16" thickBot="1" x14ac:dyDescent="0.25">
      <c r="A112" s="1">
        <v>11</v>
      </c>
      <c r="B112" s="1" t="s">
        <v>56</v>
      </c>
      <c r="C112" s="29">
        <v>2.3730000000000002</v>
      </c>
      <c r="D112" s="2">
        <v>12.5</v>
      </c>
      <c r="E112" s="2">
        <v>2</v>
      </c>
      <c r="F112" s="2">
        <v>4</v>
      </c>
      <c r="G112" s="16">
        <v>2.8340000000000001</v>
      </c>
      <c r="H112" s="10">
        <v>1.5734999999999999</v>
      </c>
      <c r="I112" s="17">
        <v>2.8490000000000002</v>
      </c>
      <c r="J112" s="20">
        <f t="shared" si="3"/>
        <v>2.2218737749901996</v>
      </c>
      <c r="K112" s="20">
        <f t="shared" si="2"/>
        <v>6.368572482503188</v>
      </c>
      <c r="L112" s="34"/>
      <c r="M112" s="2"/>
      <c r="N112" s="39"/>
      <c r="O112" s="46"/>
      <c r="P112" s="46"/>
      <c r="Q112" s="66"/>
      <c r="R112" s="70"/>
      <c r="S112" s="76"/>
      <c r="T112" s="50"/>
      <c r="U112" s="57">
        <v>5.3</v>
      </c>
      <c r="V112" s="57">
        <v>6.1</v>
      </c>
      <c r="W112" s="2">
        <v>3.3</v>
      </c>
      <c r="X112" s="29">
        <v>2.2959999999999998</v>
      </c>
      <c r="Y112" s="61">
        <v>15.1</v>
      </c>
      <c r="Z112" s="2">
        <v>78</v>
      </c>
      <c r="AA112" s="61">
        <v>1.1000000000000001</v>
      </c>
      <c r="AB112" s="2">
        <v>93</v>
      </c>
      <c r="AC112" s="2">
        <v>58</v>
      </c>
      <c r="AD112" s="2">
        <v>40</v>
      </c>
      <c r="AE112" s="4">
        <v>5.8</v>
      </c>
    </row>
    <row r="113" spans="1:31" x14ac:dyDescent="0.2">
      <c r="A113" s="1">
        <v>12</v>
      </c>
      <c r="B113" s="1" t="s">
        <v>57</v>
      </c>
      <c r="C113" s="28">
        <v>2.387</v>
      </c>
      <c r="D113" s="1">
        <v>19</v>
      </c>
      <c r="E113" s="26">
        <v>1</v>
      </c>
      <c r="F113" s="26">
        <v>0</v>
      </c>
      <c r="G113" s="21">
        <v>24.043500000000002</v>
      </c>
      <c r="H113" s="22">
        <v>13.394</v>
      </c>
      <c r="I113" s="23">
        <v>24.3125</v>
      </c>
      <c r="J113" s="24">
        <f t="shared" si="3"/>
        <v>2.2020881989284242</v>
      </c>
      <c r="K113" s="24">
        <f t="shared" si="2"/>
        <v>7.7466192321565046</v>
      </c>
      <c r="L113" s="33">
        <v>0</v>
      </c>
      <c r="M113" s="1"/>
      <c r="N113" s="38"/>
      <c r="O113" s="44"/>
      <c r="P113" s="44"/>
      <c r="Q113" s="65"/>
      <c r="R113" s="69"/>
      <c r="S113" s="74"/>
      <c r="T113" s="49"/>
      <c r="U113" s="56">
        <v>5</v>
      </c>
      <c r="V113" s="56">
        <v>6</v>
      </c>
      <c r="W113" s="1">
        <v>3.4</v>
      </c>
      <c r="X113" s="28">
        <v>2.3069999999999999</v>
      </c>
      <c r="Y113" s="60">
        <v>14.6</v>
      </c>
      <c r="Z113" s="1">
        <v>77</v>
      </c>
      <c r="AA113" s="60">
        <v>1.1000000000000001</v>
      </c>
      <c r="AB113" s="1">
        <v>87</v>
      </c>
      <c r="AC113" s="1">
        <v>56</v>
      </c>
      <c r="AD113" s="1">
        <v>39</v>
      </c>
      <c r="AE113" s="36">
        <v>5.7</v>
      </c>
    </row>
    <row r="114" spans="1:31" x14ac:dyDescent="0.2">
      <c r="A114" s="1">
        <v>12</v>
      </c>
      <c r="B114" s="1" t="s">
        <v>57</v>
      </c>
      <c r="C114" s="28">
        <v>2.387</v>
      </c>
      <c r="D114" s="1">
        <v>19</v>
      </c>
      <c r="E114" s="1">
        <v>1</v>
      </c>
      <c r="F114" s="1">
        <v>1</v>
      </c>
      <c r="G114" s="11">
        <v>2.7555000000000001</v>
      </c>
      <c r="H114" s="12">
        <v>1.5389999999999999</v>
      </c>
      <c r="I114" s="13">
        <v>2.77</v>
      </c>
      <c r="J114" s="18">
        <f t="shared" si="3"/>
        <v>2.2384240454914703</v>
      </c>
      <c r="K114" s="18">
        <f t="shared" si="2"/>
        <v>6.2243801637423379</v>
      </c>
      <c r="L114" s="33">
        <v>400</v>
      </c>
      <c r="M114" s="1">
        <v>1</v>
      </c>
      <c r="N114" s="38">
        <v>45478</v>
      </c>
      <c r="O114" s="44">
        <v>2288</v>
      </c>
      <c r="P114" s="44">
        <v>5709</v>
      </c>
      <c r="Q114" s="65">
        <v>0.80700000000000005</v>
      </c>
      <c r="R114" s="69">
        <v>1146.8</v>
      </c>
      <c r="S114" s="74">
        <v>3387</v>
      </c>
      <c r="T114" s="49">
        <v>435090</v>
      </c>
      <c r="U114" s="56">
        <v>5</v>
      </c>
      <c r="V114" s="56">
        <v>6</v>
      </c>
      <c r="W114" s="1">
        <v>3.4</v>
      </c>
      <c r="X114" s="28">
        <v>2.3069999999999999</v>
      </c>
      <c r="Y114" s="60">
        <v>14.6</v>
      </c>
      <c r="Z114" s="1">
        <v>77</v>
      </c>
      <c r="AA114" s="60">
        <v>1.1000000000000001</v>
      </c>
      <c r="AB114" s="1">
        <v>87</v>
      </c>
      <c r="AC114" s="1">
        <v>56</v>
      </c>
      <c r="AD114" s="1">
        <v>39</v>
      </c>
      <c r="AE114" s="36">
        <v>5.7</v>
      </c>
    </row>
    <row r="115" spans="1:31" x14ac:dyDescent="0.2">
      <c r="A115" s="1">
        <v>12</v>
      </c>
      <c r="B115" s="1" t="s">
        <v>57</v>
      </c>
      <c r="C115" s="28">
        <v>2.387</v>
      </c>
      <c r="D115" s="1">
        <v>19</v>
      </c>
      <c r="E115" s="1">
        <v>1</v>
      </c>
      <c r="F115" s="1">
        <v>2</v>
      </c>
      <c r="G115" s="11">
        <v>2.802</v>
      </c>
      <c r="H115" s="12">
        <v>1.5585</v>
      </c>
      <c r="I115" s="13">
        <v>2.8170000000000002</v>
      </c>
      <c r="J115" s="18">
        <f t="shared" si="3"/>
        <v>2.2264600715137064</v>
      </c>
      <c r="K115" s="18">
        <f t="shared" si="2"/>
        <v>6.7255939876955884</v>
      </c>
      <c r="L115" s="33">
        <v>600</v>
      </c>
      <c r="M115" s="1">
        <v>2</v>
      </c>
      <c r="N115" s="38">
        <v>45479</v>
      </c>
      <c r="O115" s="44">
        <v>3433</v>
      </c>
      <c r="P115" s="44">
        <v>5702</v>
      </c>
      <c r="Q115" s="65">
        <v>1.9850000000000001</v>
      </c>
      <c r="R115" s="69">
        <v>1739.7</v>
      </c>
      <c r="S115" s="74">
        <v>3402</v>
      </c>
      <c r="T115" s="49">
        <v>31530</v>
      </c>
      <c r="U115" s="56">
        <v>5</v>
      </c>
      <c r="V115" s="56">
        <v>6</v>
      </c>
      <c r="W115" s="1">
        <v>3.4</v>
      </c>
      <c r="X115" s="28">
        <v>2.3069999999999999</v>
      </c>
      <c r="Y115" s="60">
        <v>14.6</v>
      </c>
      <c r="Z115" s="1">
        <v>77</v>
      </c>
      <c r="AA115" s="60">
        <v>1.1000000000000001</v>
      </c>
      <c r="AB115" s="1">
        <v>87</v>
      </c>
      <c r="AC115" s="1">
        <v>56</v>
      </c>
      <c r="AD115" s="1">
        <v>39</v>
      </c>
      <c r="AE115" s="36">
        <v>5.7</v>
      </c>
    </row>
    <row r="116" spans="1:31" x14ac:dyDescent="0.2">
      <c r="A116" s="1">
        <v>12</v>
      </c>
      <c r="B116" s="1" t="s">
        <v>57</v>
      </c>
      <c r="C116" s="28">
        <v>2.387</v>
      </c>
      <c r="D116" s="1">
        <v>19</v>
      </c>
      <c r="E116" s="1">
        <v>1</v>
      </c>
      <c r="F116" s="1">
        <v>3</v>
      </c>
      <c r="G116" s="11">
        <v>2.7934999999999999</v>
      </c>
      <c r="H116" s="12">
        <v>1.5620000000000001</v>
      </c>
      <c r="I116" s="13">
        <v>2.8125</v>
      </c>
      <c r="J116" s="18">
        <f t="shared" si="3"/>
        <v>2.2339064374250301</v>
      </c>
      <c r="K116" s="18">
        <f t="shared" si="2"/>
        <v>6.4136389851265125</v>
      </c>
      <c r="L116" s="33">
        <v>600</v>
      </c>
      <c r="M116" s="1">
        <v>3</v>
      </c>
      <c r="N116" s="38">
        <v>45479</v>
      </c>
      <c r="O116" s="44">
        <v>3206</v>
      </c>
      <c r="P116" s="44">
        <v>5332</v>
      </c>
      <c r="Q116" s="65">
        <v>1.75</v>
      </c>
      <c r="R116" s="69">
        <v>1638.7</v>
      </c>
      <c r="S116" s="74">
        <v>2939</v>
      </c>
      <c r="T116" s="49">
        <v>35600</v>
      </c>
      <c r="U116" s="56">
        <v>5</v>
      </c>
      <c r="V116" s="56">
        <v>6</v>
      </c>
      <c r="W116" s="1">
        <v>3.4</v>
      </c>
      <c r="X116" s="28">
        <v>2.3069999999999999</v>
      </c>
      <c r="Y116" s="60">
        <v>14.6</v>
      </c>
      <c r="Z116" s="1">
        <v>77</v>
      </c>
      <c r="AA116" s="60">
        <v>1.1000000000000001</v>
      </c>
      <c r="AB116" s="1">
        <v>87</v>
      </c>
      <c r="AC116" s="1">
        <v>56</v>
      </c>
      <c r="AD116" s="1">
        <v>39</v>
      </c>
      <c r="AE116" s="36">
        <v>5.7</v>
      </c>
    </row>
    <row r="117" spans="1:31" x14ac:dyDescent="0.2">
      <c r="A117" s="1">
        <v>12</v>
      </c>
      <c r="B117" s="1" t="s">
        <v>57</v>
      </c>
      <c r="C117" s="28">
        <v>2.387</v>
      </c>
      <c r="D117" s="1">
        <v>19</v>
      </c>
      <c r="E117" s="5">
        <v>1</v>
      </c>
      <c r="F117" s="5">
        <v>4</v>
      </c>
      <c r="G117" s="14">
        <v>2.722</v>
      </c>
      <c r="H117" s="9">
        <v>1.5229999999999999</v>
      </c>
      <c r="I117" s="15">
        <v>2.742</v>
      </c>
      <c r="J117" s="19">
        <f t="shared" si="3"/>
        <v>2.2329778506972926</v>
      </c>
      <c r="K117" s="19">
        <f t="shared" si="2"/>
        <v>6.4525408170384324</v>
      </c>
      <c r="L117" s="41">
        <v>600</v>
      </c>
      <c r="M117" s="5">
        <v>4</v>
      </c>
      <c r="N117" s="42">
        <v>45479</v>
      </c>
      <c r="O117" s="47">
        <v>3152</v>
      </c>
      <c r="P117" s="47">
        <v>5243</v>
      </c>
      <c r="Q117" s="67">
        <v>1.7549999999999999</v>
      </c>
      <c r="R117" s="71">
        <v>1563.5</v>
      </c>
      <c r="S117" s="75">
        <v>1573</v>
      </c>
      <c r="T117" s="51">
        <v>37500</v>
      </c>
      <c r="U117" s="58">
        <v>5</v>
      </c>
      <c r="V117" s="58">
        <v>6</v>
      </c>
      <c r="W117" s="5">
        <v>3.4</v>
      </c>
      <c r="X117" s="53">
        <v>2.3069999999999999</v>
      </c>
      <c r="Y117" s="62">
        <v>14.6</v>
      </c>
      <c r="Z117" s="5">
        <v>77</v>
      </c>
      <c r="AA117" s="62">
        <v>1.1000000000000001</v>
      </c>
      <c r="AB117" s="5">
        <v>87</v>
      </c>
      <c r="AC117" s="5">
        <v>56</v>
      </c>
      <c r="AD117" s="5">
        <v>39</v>
      </c>
      <c r="AE117" s="43">
        <v>5.7</v>
      </c>
    </row>
    <row r="118" spans="1:31" x14ac:dyDescent="0.2">
      <c r="A118" s="1">
        <v>12</v>
      </c>
      <c r="B118" s="1" t="s">
        <v>58</v>
      </c>
      <c r="C118" s="28">
        <v>2.387</v>
      </c>
      <c r="D118" s="1">
        <v>19</v>
      </c>
      <c r="E118" s="26">
        <v>2</v>
      </c>
      <c r="F118" s="26">
        <v>0</v>
      </c>
      <c r="G118" s="21">
        <v>23.968499999999999</v>
      </c>
      <c r="H118" s="22">
        <v>13.36</v>
      </c>
      <c r="I118" s="23">
        <v>24.222999999999999</v>
      </c>
      <c r="J118" s="24">
        <f t="shared" si="3"/>
        <v>2.2064346865506765</v>
      </c>
      <c r="K118" s="24">
        <f t="shared" si="2"/>
        <v>7.56452926054979</v>
      </c>
      <c r="L118" s="33">
        <v>0</v>
      </c>
      <c r="M118" s="1"/>
      <c r="N118" s="38"/>
      <c r="O118" s="44"/>
      <c r="P118" s="44"/>
      <c r="Q118" s="65"/>
      <c r="R118" s="69"/>
      <c r="S118" s="74"/>
      <c r="T118" s="49"/>
      <c r="U118" s="56">
        <v>5</v>
      </c>
      <c r="V118" s="56">
        <v>6</v>
      </c>
      <c r="W118" s="1">
        <v>3.4</v>
      </c>
      <c r="X118" s="28">
        <v>2.3069999999999999</v>
      </c>
      <c r="Y118" s="60">
        <v>14.6</v>
      </c>
      <c r="Z118" s="1">
        <v>77</v>
      </c>
      <c r="AA118" s="60">
        <v>1.1000000000000001</v>
      </c>
      <c r="AB118" s="1">
        <v>87</v>
      </c>
      <c r="AC118" s="1">
        <v>56</v>
      </c>
      <c r="AD118" s="1">
        <v>39</v>
      </c>
      <c r="AE118" s="36">
        <v>5.7</v>
      </c>
    </row>
    <row r="119" spans="1:31" x14ac:dyDescent="0.2">
      <c r="A119" s="1">
        <v>12</v>
      </c>
      <c r="B119" s="1" t="s">
        <v>58</v>
      </c>
      <c r="C119" s="28">
        <v>2.387</v>
      </c>
      <c r="D119" s="1">
        <v>19</v>
      </c>
      <c r="E119" s="1">
        <v>2</v>
      </c>
      <c r="F119" s="1">
        <v>1</v>
      </c>
      <c r="G119" s="11">
        <v>2.7450000000000001</v>
      </c>
      <c r="H119" s="12">
        <v>1.5409999999999999</v>
      </c>
      <c r="I119" s="13">
        <v>2.7665000000000002</v>
      </c>
      <c r="J119" s="18">
        <f t="shared" si="3"/>
        <v>2.2399020807833532</v>
      </c>
      <c r="K119" s="18">
        <f t="shared" si="2"/>
        <v>6.1624599588038009</v>
      </c>
      <c r="L119" s="33">
        <v>400</v>
      </c>
      <c r="M119" s="1">
        <v>1</v>
      </c>
      <c r="N119" s="38">
        <v>45479</v>
      </c>
      <c r="O119" s="44">
        <v>2271</v>
      </c>
      <c r="P119" s="44">
        <v>5682</v>
      </c>
      <c r="Q119" s="65">
        <v>0.80700000000000005</v>
      </c>
      <c r="R119" s="69">
        <v>1141.8</v>
      </c>
      <c r="S119" s="74">
        <v>3150</v>
      </c>
      <c r="T119" s="49">
        <v>669170</v>
      </c>
      <c r="U119" s="56">
        <v>5</v>
      </c>
      <c r="V119" s="56">
        <v>6</v>
      </c>
      <c r="W119" s="1">
        <v>3.4</v>
      </c>
      <c r="X119" s="28">
        <v>2.3069999999999999</v>
      </c>
      <c r="Y119" s="60">
        <v>14.6</v>
      </c>
      <c r="Z119" s="1">
        <v>77</v>
      </c>
      <c r="AA119" s="60">
        <v>1.1000000000000001</v>
      </c>
      <c r="AB119" s="1">
        <v>87</v>
      </c>
      <c r="AC119" s="1">
        <v>56</v>
      </c>
      <c r="AD119" s="1">
        <v>39</v>
      </c>
      <c r="AE119" s="36">
        <v>5.7</v>
      </c>
    </row>
    <row r="120" spans="1:31" x14ac:dyDescent="0.2">
      <c r="A120" s="1">
        <v>12</v>
      </c>
      <c r="B120" s="1" t="s">
        <v>58</v>
      </c>
      <c r="C120" s="28">
        <v>2.387</v>
      </c>
      <c r="D120" s="1">
        <v>19</v>
      </c>
      <c r="E120" s="1">
        <v>2</v>
      </c>
      <c r="F120" s="1">
        <v>2</v>
      </c>
      <c r="G120" s="11">
        <v>2.7395</v>
      </c>
      <c r="H120" s="12">
        <v>1.5449999999999999</v>
      </c>
      <c r="I120" s="13">
        <v>2.7715000000000001</v>
      </c>
      <c r="J120" s="18">
        <f t="shared" si="3"/>
        <v>2.2335915205870362</v>
      </c>
      <c r="K120" s="18">
        <f t="shared" si="2"/>
        <v>6.4268319821099151</v>
      </c>
      <c r="L120" s="33">
        <v>400</v>
      </c>
      <c r="M120" s="1">
        <v>2</v>
      </c>
      <c r="N120" s="38">
        <v>45480</v>
      </c>
      <c r="O120" s="44">
        <v>2555</v>
      </c>
      <c r="P120" s="44">
        <v>6376</v>
      </c>
      <c r="Q120" s="65">
        <v>0.85599999999999998</v>
      </c>
      <c r="R120" s="69">
        <v>1280.5</v>
      </c>
      <c r="S120" s="74">
        <v>3822</v>
      </c>
      <c r="T120" s="49">
        <v>303820</v>
      </c>
      <c r="U120" s="56">
        <v>5</v>
      </c>
      <c r="V120" s="56">
        <v>6</v>
      </c>
      <c r="W120" s="1">
        <v>3.4</v>
      </c>
      <c r="X120" s="28">
        <v>2.3069999999999999</v>
      </c>
      <c r="Y120" s="60">
        <v>14.6</v>
      </c>
      <c r="Z120" s="1">
        <v>77</v>
      </c>
      <c r="AA120" s="60">
        <v>1.1000000000000001</v>
      </c>
      <c r="AB120" s="1">
        <v>87</v>
      </c>
      <c r="AC120" s="1">
        <v>56</v>
      </c>
      <c r="AD120" s="1">
        <v>39</v>
      </c>
      <c r="AE120" s="36">
        <v>5.7</v>
      </c>
    </row>
    <row r="121" spans="1:31" x14ac:dyDescent="0.2">
      <c r="A121" s="1">
        <v>12</v>
      </c>
      <c r="B121" s="1" t="s">
        <v>58</v>
      </c>
      <c r="C121" s="28">
        <v>2.387</v>
      </c>
      <c r="D121" s="1">
        <v>19</v>
      </c>
      <c r="E121" s="1">
        <v>2</v>
      </c>
      <c r="F121" s="1">
        <v>3</v>
      </c>
      <c r="G121" s="11">
        <v>2.7974999999999999</v>
      </c>
      <c r="H121" s="12">
        <v>1.569</v>
      </c>
      <c r="I121" s="13">
        <v>2.8184999999999998</v>
      </c>
      <c r="J121" s="18">
        <f t="shared" si="3"/>
        <v>2.2388955582232897</v>
      </c>
      <c r="K121" s="18">
        <f t="shared" si="2"/>
        <v>6.2046268025433786</v>
      </c>
      <c r="L121" s="33"/>
      <c r="M121" s="1"/>
      <c r="N121" s="38"/>
      <c r="O121" s="44"/>
      <c r="P121" s="44"/>
      <c r="Q121" s="65"/>
      <c r="R121" s="69"/>
      <c r="S121" s="74"/>
      <c r="T121" s="49"/>
      <c r="U121" s="56">
        <v>5</v>
      </c>
      <c r="V121" s="56">
        <v>6</v>
      </c>
      <c r="W121" s="1">
        <v>3.4</v>
      </c>
      <c r="X121" s="28">
        <v>2.3069999999999999</v>
      </c>
      <c r="Y121" s="60">
        <v>14.6</v>
      </c>
      <c r="Z121" s="1">
        <v>77</v>
      </c>
      <c r="AA121" s="60">
        <v>1.1000000000000001</v>
      </c>
      <c r="AB121" s="1">
        <v>87</v>
      </c>
      <c r="AC121" s="1">
        <v>56</v>
      </c>
      <c r="AD121" s="1">
        <v>39</v>
      </c>
      <c r="AE121" s="36">
        <v>5.7</v>
      </c>
    </row>
    <row r="122" spans="1:31" ht="16" thickBot="1" x14ac:dyDescent="0.25">
      <c r="A122" s="1">
        <v>12</v>
      </c>
      <c r="B122" s="1" t="s">
        <v>58</v>
      </c>
      <c r="C122" s="29">
        <v>2.387</v>
      </c>
      <c r="D122" s="2">
        <v>19</v>
      </c>
      <c r="E122" s="2">
        <v>2</v>
      </c>
      <c r="F122" s="2">
        <v>4</v>
      </c>
      <c r="G122" s="16">
        <v>2.7124999999999999</v>
      </c>
      <c r="H122" s="10">
        <v>1.5175000000000001</v>
      </c>
      <c r="I122" s="17">
        <v>2.7309999999999999</v>
      </c>
      <c r="J122" s="20">
        <f t="shared" si="3"/>
        <v>2.235269880510919</v>
      </c>
      <c r="K122" s="20">
        <f t="shared" si="2"/>
        <v>6.3565194591152512</v>
      </c>
      <c r="L122" s="34"/>
      <c r="M122" s="2"/>
      <c r="N122" s="39"/>
      <c r="O122" s="46"/>
      <c r="P122" s="46"/>
      <c r="Q122" s="66"/>
      <c r="R122" s="70"/>
      <c r="S122" s="76"/>
      <c r="T122" s="50"/>
      <c r="U122" s="57">
        <v>5</v>
      </c>
      <c r="V122" s="57">
        <v>6</v>
      </c>
      <c r="W122" s="2">
        <v>3.4</v>
      </c>
      <c r="X122" s="29">
        <v>2.3069999999999999</v>
      </c>
      <c r="Y122" s="61">
        <v>14.6</v>
      </c>
      <c r="Z122" s="2">
        <v>77</v>
      </c>
      <c r="AA122" s="61">
        <v>1.1000000000000001</v>
      </c>
      <c r="AB122" s="2">
        <v>87</v>
      </c>
      <c r="AC122" s="2">
        <v>56</v>
      </c>
      <c r="AD122" s="2">
        <v>39</v>
      </c>
      <c r="AE122" s="4">
        <v>5.7</v>
      </c>
    </row>
    <row r="123" spans="1:31" x14ac:dyDescent="0.2">
      <c r="A123" s="1">
        <v>13</v>
      </c>
      <c r="B123" s="1" t="s">
        <v>59</v>
      </c>
      <c r="C123" s="54">
        <v>2.3780000000000001</v>
      </c>
      <c r="D123" s="1">
        <v>19</v>
      </c>
      <c r="E123" s="26">
        <v>1</v>
      </c>
      <c r="F123" s="26">
        <v>0</v>
      </c>
      <c r="G123" s="21">
        <v>24.011500000000002</v>
      </c>
      <c r="H123" s="22">
        <v>13.3445</v>
      </c>
      <c r="I123" s="23">
        <v>24.28</v>
      </c>
      <c r="J123" s="24">
        <f t="shared" si="3"/>
        <v>2.1957386493530247</v>
      </c>
      <c r="K123" s="24">
        <f t="shared" si="2"/>
        <v>7.6644806832201651</v>
      </c>
      <c r="L123" s="33">
        <v>0</v>
      </c>
      <c r="M123" s="1"/>
      <c r="N123" s="38"/>
      <c r="O123" s="44"/>
      <c r="P123" s="44"/>
      <c r="Q123" s="65"/>
      <c r="R123" s="69"/>
      <c r="S123" s="74"/>
      <c r="T123" s="49"/>
      <c r="U123" s="56">
        <v>5.15</v>
      </c>
      <c r="V123" s="56">
        <v>6.01</v>
      </c>
      <c r="W123" s="1">
        <v>3.2</v>
      </c>
      <c r="X123" s="28">
        <v>2.302</v>
      </c>
      <c r="Y123" s="60">
        <v>14.8</v>
      </c>
      <c r="Z123" s="1">
        <v>78</v>
      </c>
      <c r="AA123" s="60">
        <v>1.1000000000000001</v>
      </c>
      <c r="AB123" s="1">
        <v>88</v>
      </c>
      <c r="AC123" s="1">
        <v>50</v>
      </c>
      <c r="AD123" s="1">
        <v>35</v>
      </c>
      <c r="AE123" s="36">
        <v>5.5</v>
      </c>
    </row>
    <row r="124" spans="1:31" x14ac:dyDescent="0.2">
      <c r="A124" s="1">
        <v>13</v>
      </c>
      <c r="B124" s="1" t="s">
        <v>59</v>
      </c>
      <c r="C124" s="54">
        <v>2.3780000000000001</v>
      </c>
      <c r="D124" s="1">
        <v>19</v>
      </c>
      <c r="E124" s="1">
        <v>1</v>
      </c>
      <c r="F124" s="1">
        <v>1</v>
      </c>
      <c r="G124" s="11">
        <v>2.7210000000000001</v>
      </c>
      <c r="H124" s="12">
        <v>1.5065</v>
      </c>
      <c r="I124" s="13">
        <v>2.7244999999999999</v>
      </c>
      <c r="J124" s="18">
        <f t="shared" si="3"/>
        <v>2.2339901477832513</v>
      </c>
      <c r="K124" s="18">
        <f t="shared" si="2"/>
        <v>6.0559231377943163</v>
      </c>
      <c r="L124" s="33">
        <v>600</v>
      </c>
      <c r="M124" s="1">
        <v>1</v>
      </c>
      <c r="N124" s="38">
        <v>45512</v>
      </c>
      <c r="O124" s="44">
        <v>3400</v>
      </c>
      <c r="P124" s="44">
        <v>5647</v>
      </c>
      <c r="Q124" s="65">
        <v>1.893</v>
      </c>
      <c r="R124" s="69">
        <v>1659.4</v>
      </c>
      <c r="S124" s="74">
        <v>1694</v>
      </c>
      <c r="T124" s="49">
        <v>23000</v>
      </c>
      <c r="U124" s="56">
        <v>5.15</v>
      </c>
      <c r="V124" s="56">
        <v>6.01</v>
      </c>
      <c r="W124" s="1">
        <v>3.2</v>
      </c>
      <c r="X124" s="28">
        <v>2.302</v>
      </c>
      <c r="Y124" s="60">
        <v>14.8</v>
      </c>
      <c r="Z124" s="1">
        <v>78</v>
      </c>
      <c r="AA124" s="60">
        <v>1.1000000000000001</v>
      </c>
      <c r="AB124" s="1">
        <v>88</v>
      </c>
      <c r="AC124" s="1">
        <v>50</v>
      </c>
      <c r="AD124" s="1">
        <v>35</v>
      </c>
      <c r="AE124" s="36">
        <v>5.5</v>
      </c>
    </row>
    <row r="125" spans="1:31" x14ac:dyDescent="0.2">
      <c r="A125" s="1">
        <v>13</v>
      </c>
      <c r="B125" s="1" t="s">
        <v>59</v>
      </c>
      <c r="C125" s="54">
        <v>2.3780000000000001</v>
      </c>
      <c r="D125" s="1">
        <v>19</v>
      </c>
      <c r="E125" s="1">
        <v>1</v>
      </c>
      <c r="F125" s="1">
        <v>2</v>
      </c>
      <c r="G125" s="11">
        <v>2.6915</v>
      </c>
      <c r="H125" s="12">
        <v>1.4755</v>
      </c>
      <c r="I125" s="13">
        <v>2.6920000000000002</v>
      </c>
      <c r="J125" s="18">
        <f t="shared" si="3"/>
        <v>2.2124948623099052</v>
      </c>
      <c r="K125" s="18">
        <f t="shared" si="2"/>
        <v>6.9598459920140794</v>
      </c>
      <c r="L125" s="33">
        <v>600</v>
      </c>
      <c r="M125" s="1">
        <v>2</v>
      </c>
      <c r="N125" s="38">
        <v>45512</v>
      </c>
      <c r="O125" s="44">
        <v>3167</v>
      </c>
      <c r="P125" s="44">
        <v>5277</v>
      </c>
      <c r="Q125" s="65">
        <v>1.788</v>
      </c>
      <c r="R125" s="69">
        <v>1567.3</v>
      </c>
      <c r="S125" s="74">
        <v>1581</v>
      </c>
      <c r="T125" s="49">
        <v>52500</v>
      </c>
      <c r="U125" s="56">
        <v>5.15</v>
      </c>
      <c r="V125" s="56">
        <v>6.01</v>
      </c>
      <c r="W125" s="1">
        <v>3.2</v>
      </c>
      <c r="X125" s="28">
        <v>2.302</v>
      </c>
      <c r="Y125" s="60">
        <v>14.8</v>
      </c>
      <c r="Z125" s="1">
        <v>78</v>
      </c>
      <c r="AA125" s="60">
        <v>1.1000000000000001</v>
      </c>
      <c r="AB125" s="1">
        <v>88</v>
      </c>
      <c r="AC125" s="1">
        <v>50</v>
      </c>
      <c r="AD125" s="1">
        <v>35</v>
      </c>
      <c r="AE125" s="36">
        <v>5.5</v>
      </c>
    </row>
    <row r="126" spans="1:31" x14ac:dyDescent="0.2">
      <c r="A126" s="1">
        <v>13</v>
      </c>
      <c r="B126" s="1" t="s">
        <v>59</v>
      </c>
      <c r="C126" s="54">
        <v>2.3780000000000001</v>
      </c>
      <c r="D126" s="1">
        <v>19</v>
      </c>
      <c r="E126" s="1">
        <v>1</v>
      </c>
      <c r="F126" s="1">
        <v>3</v>
      </c>
      <c r="G126" s="11">
        <v>2.6989999999999998</v>
      </c>
      <c r="H126" s="12">
        <v>1.4830000000000001</v>
      </c>
      <c r="I126" s="13">
        <v>2.7065000000000001</v>
      </c>
      <c r="J126" s="18">
        <f t="shared" si="3"/>
        <v>2.205966489579076</v>
      </c>
      <c r="K126" s="18">
        <f t="shared" si="2"/>
        <v>7.2343780664812503</v>
      </c>
      <c r="L126" s="33">
        <v>600</v>
      </c>
      <c r="M126" s="1">
        <v>3</v>
      </c>
      <c r="N126" s="38">
        <v>45513</v>
      </c>
      <c r="O126" s="44">
        <v>3021</v>
      </c>
      <c r="P126" s="44">
        <v>5019</v>
      </c>
      <c r="Q126" s="65">
        <v>1.7270000000000001</v>
      </c>
      <c r="R126" s="69">
        <v>1518.1</v>
      </c>
      <c r="S126" s="74">
        <v>1502</v>
      </c>
      <c r="T126" s="49">
        <v>75000</v>
      </c>
      <c r="U126" s="56">
        <v>5.15</v>
      </c>
      <c r="V126" s="56">
        <v>6.01</v>
      </c>
      <c r="W126" s="1">
        <v>3.2</v>
      </c>
      <c r="X126" s="28">
        <v>2.302</v>
      </c>
      <c r="Y126" s="60">
        <v>14.8</v>
      </c>
      <c r="Z126" s="1">
        <v>78</v>
      </c>
      <c r="AA126" s="60">
        <v>1.1000000000000001</v>
      </c>
      <c r="AB126" s="1">
        <v>88</v>
      </c>
      <c r="AC126" s="1">
        <v>50</v>
      </c>
      <c r="AD126" s="1">
        <v>35</v>
      </c>
      <c r="AE126" s="36">
        <v>5.5</v>
      </c>
    </row>
    <row r="127" spans="1:31" x14ac:dyDescent="0.2">
      <c r="A127" s="1">
        <v>13</v>
      </c>
      <c r="B127" s="1" t="s">
        <v>59</v>
      </c>
      <c r="C127" s="54">
        <v>2.3780000000000001</v>
      </c>
      <c r="D127" s="1">
        <v>19</v>
      </c>
      <c r="E127" s="5">
        <v>1</v>
      </c>
      <c r="F127" s="5">
        <v>4</v>
      </c>
      <c r="G127" s="14">
        <v>2.7629999999999999</v>
      </c>
      <c r="H127" s="9">
        <v>1.5309999999999999</v>
      </c>
      <c r="I127" s="15">
        <v>2.7665000000000002</v>
      </c>
      <c r="J127" s="19">
        <f t="shared" si="3"/>
        <v>2.2363415621205984</v>
      </c>
      <c r="K127" s="19">
        <f t="shared" si="2"/>
        <v>5.9570411219260544</v>
      </c>
      <c r="L127" s="41">
        <v>400</v>
      </c>
      <c r="M127" s="5">
        <v>4</v>
      </c>
      <c r="N127" s="42">
        <v>45517</v>
      </c>
      <c r="O127" s="47">
        <v>1769</v>
      </c>
      <c r="P127" s="47">
        <v>4429</v>
      </c>
      <c r="Q127" s="67">
        <v>0.70499999999999996</v>
      </c>
      <c r="R127" s="71">
        <v>890.2</v>
      </c>
      <c r="S127" s="75">
        <v>1328</v>
      </c>
      <c r="T127" s="51">
        <v>486470</v>
      </c>
      <c r="U127" s="58">
        <v>5.15</v>
      </c>
      <c r="V127" s="58">
        <v>6.01</v>
      </c>
      <c r="W127" s="5">
        <v>3.2</v>
      </c>
      <c r="X127" s="53">
        <v>2.302</v>
      </c>
      <c r="Y127" s="62">
        <v>14.8</v>
      </c>
      <c r="Z127" s="5">
        <v>78</v>
      </c>
      <c r="AA127" s="62">
        <v>1.1000000000000001</v>
      </c>
      <c r="AB127" s="5">
        <v>88</v>
      </c>
      <c r="AC127" s="5">
        <v>50</v>
      </c>
      <c r="AD127" s="5">
        <v>35</v>
      </c>
      <c r="AE127" s="43">
        <v>5.5</v>
      </c>
    </row>
    <row r="128" spans="1:31" x14ac:dyDescent="0.2">
      <c r="A128" s="1">
        <v>13</v>
      </c>
      <c r="B128" s="1" t="s">
        <v>60</v>
      </c>
      <c r="C128" s="54">
        <v>2.3780000000000001</v>
      </c>
      <c r="D128" s="1">
        <v>19</v>
      </c>
      <c r="E128" s="26">
        <v>2</v>
      </c>
      <c r="F128" s="26">
        <v>0</v>
      </c>
      <c r="G128" s="21">
        <v>24.089500000000001</v>
      </c>
      <c r="H128" s="22">
        <v>13.3535</v>
      </c>
      <c r="I128" s="23">
        <v>24.326000000000001</v>
      </c>
      <c r="J128" s="24">
        <f t="shared" si="3"/>
        <v>2.1954431533378904</v>
      </c>
      <c r="K128" s="24">
        <f t="shared" si="2"/>
        <v>7.6769069243948547</v>
      </c>
      <c r="L128" s="33">
        <v>0</v>
      </c>
      <c r="M128" s="1"/>
      <c r="N128" s="38"/>
      <c r="O128" s="44"/>
      <c r="P128" s="44"/>
      <c r="Q128" s="65"/>
      <c r="R128" s="69"/>
      <c r="S128" s="74"/>
      <c r="T128" s="49"/>
      <c r="U128" s="56">
        <v>5.15</v>
      </c>
      <c r="V128" s="56">
        <v>6.01</v>
      </c>
      <c r="W128" s="1">
        <v>3.2</v>
      </c>
      <c r="X128" s="28">
        <v>2.302</v>
      </c>
      <c r="Y128" s="60">
        <v>14.8</v>
      </c>
      <c r="Z128" s="1">
        <v>78</v>
      </c>
      <c r="AA128" s="60">
        <v>1.1000000000000001</v>
      </c>
      <c r="AB128" s="1">
        <v>88</v>
      </c>
      <c r="AC128" s="1">
        <v>50</v>
      </c>
      <c r="AD128" s="1">
        <v>35</v>
      </c>
      <c r="AE128" s="36">
        <v>5.5</v>
      </c>
    </row>
    <row r="129" spans="1:31" x14ac:dyDescent="0.2">
      <c r="A129" s="1">
        <v>13</v>
      </c>
      <c r="B129" s="1" t="s">
        <v>60</v>
      </c>
      <c r="C129" s="54">
        <v>2.3780000000000001</v>
      </c>
      <c r="D129" s="1">
        <v>19</v>
      </c>
      <c r="E129" s="1">
        <v>2</v>
      </c>
      <c r="F129" s="1">
        <v>1</v>
      </c>
      <c r="G129" s="11">
        <v>2.7749999999999999</v>
      </c>
      <c r="H129" s="12">
        <v>1.5325</v>
      </c>
      <c r="I129" s="13">
        <v>2.78</v>
      </c>
      <c r="J129" s="18">
        <f t="shared" si="3"/>
        <v>2.2244488977955914</v>
      </c>
      <c r="K129" s="18">
        <f t="shared" si="2"/>
        <v>6.4571531625066791</v>
      </c>
      <c r="L129" s="33">
        <v>400</v>
      </c>
      <c r="M129" s="1">
        <v>1</v>
      </c>
      <c r="N129" s="38">
        <v>45518</v>
      </c>
      <c r="O129" s="44">
        <v>2431</v>
      </c>
      <c r="P129" s="44">
        <v>6056</v>
      </c>
      <c r="Q129" s="65">
        <v>0.84699999999999998</v>
      </c>
      <c r="R129" s="69">
        <v>1217.0999999999999</v>
      </c>
      <c r="S129" s="74">
        <v>1816</v>
      </c>
      <c r="T129" s="49">
        <v>475000</v>
      </c>
      <c r="U129" s="56">
        <v>5.15</v>
      </c>
      <c r="V129" s="56">
        <v>6.01</v>
      </c>
      <c r="W129" s="1">
        <v>3.2</v>
      </c>
      <c r="X129" s="28">
        <v>2.302</v>
      </c>
      <c r="Y129" s="60">
        <v>14.8</v>
      </c>
      <c r="Z129" s="1">
        <v>78</v>
      </c>
      <c r="AA129" s="60">
        <v>1.1000000000000001</v>
      </c>
      <c r="AB129" s="1">
        <v>88</v>
      </c>
      <c r="AC129" s="1">
        <v>50</v>
      </c>
      <c r="AD129" s="1">
        <v>35</v>
      </c>
      <c r="AE129" s="36">
        <v>5.5</v>
      </c>
    </row>
    <row r="130" spans="1:31" x14ac:dyDescent="0.2">
      <c r="A130" s="1">
        <v>13</v>
      </c>
      <c r="B130" s="1" t="s">
        <v>60</v>
      </c>
      <c r="C130" s="54">
        <v>2.3780000000000001</v>
      </c>
      <c r="D130" s="1">
        <v>19</v>
      </c>
      <c r="E130" s="1">
        <v>2</v>
      </c>
      <c r="F130" s="1">
        <v>2</v>
      </c>
      <c r="G130" s="11">
        <v>2.6659999999999999</v>
      </c>
      <c r="H130" s="12">
        <v>1.46</v>
      </c>
      <c r="I130" s="13">
        <v>2.6709999999999998</v>
      </c>
      <c r="J130" s="18">
        <f t="shared" si="3"/>
        <v>2.2014863748967799</v>
      </c>
      <c r="K130" s="18">
        <f t="shared" si="2"/>
        <v>7.4227764971917631</v>
      </c>
      <c r="L130" s="33">
        <v>400</v>
      </c>
      <c r="M130" s="1">
        <v>2</v>
      </c>
      <c r="N130" s="38">
        <v>45520</v>
      </c>
      <c r="O130" s="44">
        <v>2399</v>
      </c>
      <c r="P130" s="44">
        <v>6012</v>
      </c>
      <c r="Q130" s="65">
        <v>0.81399999999999995</v>
      </c>
      <c r="R130" s="69">
        <v>1150.7</v>
      </c>
      <c r="S130" s="74">
        <v>1800</v>
      </c>
      <c r="T130" s="49">
        <v>750000</v>
      </c>
      <c r="U130" s="56">
        <v>5.15</v>
      </c>
      <c r="V130" s="56">
        <v>6.01</v>
      </c>
      <c r="W130" s="1">
        <v>3.2</v>
      </c>
      <c r="X130" s="28">
        <v>2.302</v>
      </c>
      <c r="Y130" s="60">
        <v>14.8</v>
      </c>
      <c r="Z130" s="1">
        <v>78</v>
      </c>
      <c r="AA130" s="60">
        <v>1.1000000000000001</v>
      </c>
      <c r="AB130" s="1">
        <v>88</v>
      </c>
      <c r="AC130" s="1">
        <v>50</v>
      </c>
      <c r="AD130" s="1">
        <v>35</v>
      </c>
      <c r="AE130" s="36">
        <v>5.5</v>
      </c>
    </row>
    <row r="131" spans="1:31" x14ac:dyDescent="0.2">
      <c r="A131" s="1">
        <v>13</v>
      </c>
      <c r="B131" s="1" t="s">
        <v>60</v>
      </c>
      <c r="C131" s="54">
        <v>2.3780000000000001</v>
      </c>
      <c r="D131" s="1">
        <v>19</v>
      </c>
      <c r="E131" s="1">
        <v>2</v>
      </c>
      <c r="F131" s="1">
        <v>3</v>
      </c>
      <c r="G131" s="11">
        <v>2.7435</v>
      </c>
      <c r="H131" s="12">
        <v>1.516</v>
      </c>
      <c r="I131" s="13">
        <v>2.7469999999999999</v>
      </c>
      <c r="J131" s="18">
        <f t="shared" si="3"/>
        <v>2.2286758732737613</v>
      </c>
      <c r="K131" s="18">
        <f t="shared" ref="K131:K194" si="4">+IF(G131=0,"",(1-(J131/C131))*100)</f>
        <v>6.2793997782270345</v>
      </c>
      <c r="L131" s="33"/>
      <c r="M131" s="1"/>
      <c r="N131" s="38"/>
      <c r="O131" s="44"/>
      <c r="P131" s="44"/>
      <c r="Q131" s="65"/>
      <c r="R131" s="69"/>
      <c r="S131" s="74"/>
      <c r="T131" s="49"/>
      <c r="U131" s="56">
        <v>5.15</v>
      </c>
      <c r="V131" s="56">
        <v>6.01</v>
      </c>
      <c r="W131" s="1">
        <v>3.2</v>
      </c>
      <c r="X131" s="28">
        <v>2.302</v>
      </c>
      <c r="Y131" s="60">
        <v>14.8</v>
      </c>
      <c r="Z131" s="1">
        <v>78</v>
      </c>
      <c r="AA131" s="60">
        <v>1.1000000000000001</v>
      </c>
      <c r="AB131" s="1">
        <v>88</v>
      </c>
      <c r="AC131" s="1">
        <v>50</v>
      </c>
      <c r="AD131" s="1">
        <v>35</v>
      </c>
      <c r="AE131" s="36">
        <v>5.5</v>
      </c>
    </row>
    <row r="132" spans="1:31" ht="16" thickBot="1" x14ac:dyDescent="0.25">
      <c r="A132" s="1">
        <v>13</v>
      </c>
      <c r="B132" s="1" t="s">
        <v>60</v>
      </c>
      <c r="C132" s="55">
        <v>2.3780000000000001</v>
      </c>
      <c r="D132" s="2">
        <v>19</v>
      </c>
      <c r="E132" s="2">
        <v>2</v>
      </c>
      <c r="F132" s="2">
        <v>4</v>
      </c>
      <c r="G132" s="16">
        <v>2.7324999999999999</v>
      </c>
      <c r="H132" s="10">
        <v>1.5065</v>
      </c>
      <c r="I132" s="17">
        <v>2.7360000000000002</v>
      </c>
      <c r="J132" s="20">
        <f t="shared" si="3"/>
        <v>2.2224481496543307</v>
      </c>
      <c r="K132" s="20">
        <f t="shared" si="4"/>
        <v>6.5412889127699492</v>
      </c>
      <c r="L132" s="34"/>
      <c r="M132" s="2"/>
      <c r="N132" s="39"/>
      <c r="O132" s="46"/>
      <c r="P132" s="46"/>
      <c r="Q132" s="66"/>
      <c r="R132" s="70"/>
      <c r="S132" s="76"/>
      <c r="T132" s="50"/>
      <c r="U132" s="57">
        <v>5.15</v>
      </c>
      <c r="V132" s="57">
        <v>6.01</v>
      </c>
      <c r="W132" s="2">
        <v>3.2</v>
      </c>
      <c r="X132" s="29">
        <v>2.302</v>
      </c>
      <c r="Y132" s="61">
        <v>14.8</v>
      </c>
      <c r="Z132" s="2">
        <v>78</v>
      </c>
      <c r="AA132" s="61">
        <v>1.1000000000000001</v>
      </c>
      <c r="AB132" s="2">
        <v>88</v>
      </c>
      <c r="AC132" s="2">
        <v>50</v>
      </c>
      <c r="AD132" s="2">
        <v>35</v>
      </c>
      <c r="AE132" s="4">
        <v>5.5</v>
      </c>
    </row>
    <row r="133" spans="1:31" x14ac:dyDescent="0.2">
      <c r="A133" s="1">
        <v>14</v>
      </c>
      <c r="B133" s="1" t="s">
        <v>61</v>
      </c>
      <c r="C133" s="28">
        <v>2.363</v>
      </c>
      <c r="D133" s="1">
        <v>19</v>
      </c>
      <c r="E133" s="26">
        <v>1</v>
      </c>
      <c r="F133" s="26">
        <v>0</v>
      </c>
      <c r="G133" s="21">
        <v>24.040500000000002</v>
      </c>
      <c r="H133" s="22">
        <v>13.240500000000001</v>
      </c>
      <c r="I133" s="23">
        <v>24.277999999999999</v>
      </c>
      <c r="J133" s="24">
        <f>+IF(G133=0,"",G133/(I133-H133))</f>
        <v>2.1780747451868634</v>
      </c>
      <c r="K133" s="24">
        <f t="shared" si="4"/>
        <v>7.8258677449486447</v>
      </c>
      <c r="L133" s="33">
        <v>0</v>
      </c>
      <c r="M133" s="1"/>
      <c r="N133" s="38"/>
      <c r="O133" s="44"/>
      <c r="P133" s="44"/>
      <c r="Q133" s="65"/>
      <c r="R133" s="69"/>
      <c r="S133" s="74"/>
      <c r="T133" s="49"/>
      <c r="U133" s="56">
        <v>5.46</v>
      </c>
      <c r="V133" s="56">
        <v>6.02</v>
      </c>
      <c r="W133" s="1">
        <v>2.5</v>
      </c>
      <c r="X133" s="28">
        <v>2.3039999999999998</v>
      </c>
      <c r="Y133" s="60">
        <v>14.8</v>
      </c>
      <c r="Z133" s="1">
        <v>83</v>
      </c>
      <c r="AA133" s="60">
        <v>0.9</v>
      </c>
      <c r="AB133" s="1">
        <v>85</v>
      </c>
      <c r="AC133" s="1">
        <v>51</v>
      </c>
      <c r="AD133" s="1">
        <v>36</v>
      </c>
      <c r="AE133" s="36">
        <v>5.0999999999999996</v>
      </c>
    </row>
    <row r="134" spans="1:31" x14ac:dyDescent="0.2">
      <c r="A134" s="1">
        <v>14</v>
      </c>
      <c r="B134" s="1" t="s">
        <v>61</v>
      </c>
      <c r="C134" s="28">
        <v>2.363</v>
      </c>
      <c r="D134" s="1">
        <v>19</v>
      </c>
      <c r="E134" s="1">
        <v>1</v>
      </c>
      <c r="F134" s="1">
        <v>1</v>
      </c>
      <c r="G134" s="11">
        <v>2.6920000000000002</v>
      </c>
      <c r="H134" s="12">
        <v>1.482</v>
      </c>
      <c r="I134" s="13">
        <v>2.6985000000000001</v>
      </c>
      <c r="J134" s="18">
        <f>+IF(G134=0,"",G134/(I134-H134))</f>
        <v>2.2129058775174681</v>
      </c>
      <c r="K134" s="18">
        <f t="shared" si="4"/>
        <v>6.351846063585775</v>
      </c>
      <c r="L134" s="33">
        <v>400</v>
      </c>
      <c r="M134" s="1">
        <v>1</v>
      </c>
      <c r="N134" s="38">
        <v>45659</v>
      </c>
      <c r="O134" s="44">
        <v>2157</v>
      </c>
      <c r="P134" s="44">
        <v>5377</v>
      </c>
      <c r="Q134" s="65">
        <v>0.80800000000000005</v>
      </c>
      <c r="R134" s="69">
        <v>1052.5999999999999</v>
      </c>
      <c r="S134" s="74">
        <v>1596</v>
      </c>
      <c r="T134" s="49">
        <v>325000</v>
      </c>
      <c r="U134" s="56">
        <v>5.46</v>
      </c>
      <c r="V134" s="56">
        <v>6.02</v>
      </c>
      <c r="W134" s="1">
        <v>2.5</v>
      </c>
      <c r="X134" s="28">
        <v>2.3039999999999998</v>
      </c>
      <c r="Y134" s="60">
        <v>14.8</v>
      </c>
      <c r="Z134" s="1">
        <v>83</v>
      </c>
      <c r="AA134" s="60">
        <v>0.9</v>
      </c>
      <c r="AB134" s="1">
        <v>85</v>
      </c>
      <c r="AC134" s="1">
        <v>51</v>
      </c>
      <c r="AD134" s="1">
        <v>36</v>
      </c>
      <c r="AE134" s="36">
        <v>5.0999999999999996</v>
      </c>
    </row>
    <row r="135" spans="1:31" x14ac:dyDescent="0.2">
      <c r="A135" s="1">
        <v>14</v>
      </c>
      <c r="B135" s="1" t="s">
        <v>61</v>
      </c>
      <c r="C135" s="28">
        <v>2.363</v>
      </c>
      <c r="D135" s="1">
        <v>19</v>
      </c>
      <c r="E135" s="1">
        <v>1</v>
      </c>
      <c r="F135" s="1">
        <v>2</v>
      </c>
      <c r="G135" s="11">
        <v>2.589</v>
      </c>
      <c r="H135" s="12">
        <v>1.42</v>
      </c>
      <c r="I135" s="13">
        <v>2.593</v>
      </c>
      <c r="J135" s="18">
        <f t="shared" ref="J135:J198" si="5">+IF(G135=0,"",G135/(I135-H135))</f>
        <v>2.207161125319693</v>
      </c>
      <c r="K135" s="18">
        <f t="shared" si="4"/>
        <v>6.5949587253621207</v>
      </c>
      <c r="L135" s="33">
        <v>600</v>
      </c>
      <c r="M135" s="1">
        <v>2</v>
      </c>
      <c r="N135" s="38">
        <v>45660</v>
      </c>
      <c r="O135" s="44">
        <v>2279</v>
      </c>
      <c r="P135" s="44">
        <v>3786</v>
      </c>
      <c r="Q135" s="65">
        <v>1.38</v>
      </c>
      <c r="R135" s="69">
        <v>1207.5999999999999</v>
      </c>
      <c r="S135" s="74">
        <v>1639</v>
      </c>
      <c r="T135" s="49">
        <v>284780</v>
      </c>
      <c r="U135" s="56">
        <v>5.46</v>
      </c>
      <c r="V135" s="56">
        <v>6.02</v>
      </c>
      <c r="W135" s="1">
        <v>2.5</v>
      </c>
      <c r="X135" s="28">
        <v>2.3039999999999998</v>
      </c>
      <c r="Y135" s="60">
        <v>14.8</v>
      </c>
      <c r="Z135" s="1">
        <v>83</v>
      </c>
      <c r="AA135" s="60">
        <v>0.9</v>
      </c>
      <c r="AB135" s="1">
        <v>85</v>
      </c>
      <c r="AC135" s="1">
        <v>51</v>
      </c>
      <c r="AD135" s="1">
        <v>36</v>
      </c>
      <c r="AE135" s="36">
        <v>5.0999999999999996</v>
      </c>
    </row>
    <row r="136" spans="1:31" x14ac:dyDescent="0.2">
      <c r="A136" s="1">
        <v>14</v>
      </c>
      <c r="B136" s="1" t="s">
        <v>61</v>
      </c>
      <c r="C136" s="28">
        <v>2.363</v>
      </c>
      <c r="D136" s="1">
        <v>19</v>
      </c>
      <c r="E136" s="1">
        <v>1</v>
      </c>
      <c r="F136" s="1">
        <v>3</v>
      </c>
      <c r="G136" s="11">
        <v>2.6675</v>
      </c>
      <c r="H136" s="12">
        <v>1.4670000000000001</v>
      </c>
      <c r="I136" s="13">
        <v>2.6715</v>
      </c>
      <c r="J136" s="18">
        <f t="shared" si="5"/>
        <v>2.214611872146119</v>
      </c>
      <c r="K136" s="18">
        <f t="shared" si="4"/>
        <v>6.2796499303377491</v>
      </c>
      <c r="L136" s="33">
        <v>400</v>
      </c>
      <c r="M136" s="1">
        <v>3</v>
      </c>
      <c r="N136" s="38">
        <v>45660</v>
      </c>
      <c r="O136" s="44">
        <v>2052</v>
      </c>
      <c r="P136" s="44">
        <v>5125</v>
      </c>
      <c r="Q136" s="65">
        <v>0.67600000000000005</v>
      </c>
      <c r="R136" s="69">
        <v>1071.7</v>
      </c>
      <c r="S136" s="74">
        <v>1763</v>
      </c>
      <c r="T136" s="49">
        <v>725000</v>
      </c>
      <c r="U136" s="56">
        <v>5.46</v>
      </c>
      <c r="V136" s="56">
        <v>6.02</v>
      </c>
      <c r="W136" s="1">
        <v>2.5</v>
      </c>
      <c r="X136" s="28">
        <v>2.3039999999999998</v>
      </c>
      <c r="Y136" s="60">
        <v>14.8</v>
      </c>
      <c r="Z136" s="1">
        <v>83</v>
      </c>
      <c r="AA136" s="60">
        <v>0.9</v>
      </c>
      <c r="AB136" s="1">
        <v>85</v>
      </c>
      <c r="AC136" s="1">
        <v>51</v>
      </c>
      <c r="AD136" s="1">
        <v>36</v>
      </c>
      <c r="AE136" s="36">
        <v>5.0999999999999996</v>
      </c>
    </row>
    <row r="137" spans="1:31" x14ac:dyDescent="0.2">
      <c r="A137" s="1">
        <v>14</v>
      </c>
      <c r="B137" s="1" t="s">
        <v>61</v>
      </c>
      <c r="C137" s="28">
        <v>2.363</v>
      </c>
      <c r="D137" s="1">
        <v>19</v>
      </c>
      <c r="E137" s="5">
        <v>1</v>
      </c>
      <c r="F137" s="5">
        <v>4</v>
      </c>
      <c r="G137" s="14">
        <v>2.5975000000000001</v>
      </c>
      <c r="H137" s="9">
        <v>1.4225000000000001</v>
      </c>
      <c r="I137" s="15">
        <v>2.5954999999999999</v>
      </c>
      <c r="J137" s="19">
        <f t="shared" si="5"/>
        <v>2.2144075021312877</v>
      </c>
      <c r="K137" s="19">
        <f t="shared" si="4"/>
        <v>6.2882986825523624</v>
      </c>
      <c r="L137" s="41">
        <v>600</v>
      </c>
      <c r="M137" s="5">
        <v>4</v>
      </c>
      <c r="N137" s="42">
        <v>45661</v>
      </c>
      <c r="O137" s="47">
        <v>3028</v>
      </c>
      <c r="P137" s="47">
        <v>5045</v>
      </c>
      <c r="Q137" s="67">
        <v>1.9059999999999999</v>
      </c>
      <c r="R137" s="71">
        <v>1474.3</v>
      </c>
      <c r="S137" s="75">
        <v>2585</v>
      </c>
      <c r="T137" s="51">
        <v>89940</v>
      </c>
      <c r="U137" s="58">
        <v>5.46</v>
      </c>
      <c r="V137" s="58">
        <v>6.02</v>
      </c>
      <c r="W137" s="5">
        <v>2.5</v>
      </c>
      <c r="X137" s="53">
        <v>2.3039999999999998</v>
      </c>
      <c r="Y137" s="62">
        <v>14.8</v>
      </c>
      <c r="Z137" s="5">
        <v>83</v>
      </c>
      <c r="AA137" s="62">
        <v>0.9</v>
      </c>
      <c r="AB137" s="5">
        <v>85</v>
      </c>
      <c r="AC137" s="5">
        <v>51</v>
      </c>
      <c r="AD137" s="5">
        <v>36</v>
      </c>
      <c r="AE137" s="43">
        <v>5.0999999999999996</v>
      </c>
    </row>
    <row r="138" spans="1:31" x14ac:dyDescent="0.2">
      <c r="A138" s="1">
        <v>14</v>
      </c>
      <c r="B138" s="1" t="s">
        <v>62</v>
      </c>
      <c r="C138" s="28">
        <v>2.363</v>
      </c>
      <c r="D138" s="1">
        <v>19</v>
      </c>
      <c r="E138" s="26">
        <v>2</v>
      </c>
      <c r="F138" s="26">
        <v>0</v>
      </c>
      <c r="G138" s="21">
        <v>23.866</v>
      </c>
      <c r="H138" s="22">
        <v>13.161</v>
      </c>
      <c r="I138" s="23">
        <v>24.125</v>
      </c>
      <c r="J138" s="24">
        <f t="shared" si="5"/>
        <v>2.176760306457497</v>
      </c>
      <c r="K138" s="24">
        <f t="shared" si="4"/>
        <v>7.8814935904571781</v>
      </c>
      <c r="L138" s="33">
        <v>0</v>
      </c>
      <c r="M138" s="1"/>
      <c r="N138" s="38"/>
      <c r="O138" s="44"/>
      <c r="P138" s="44"/>
      <c r="Q138" s="65"/>
      <c r="R138" s="69"/>
      <c r="S138" s="74"/>
      <c r="T138" s="49"/>
      <c r="U138" s="56">
        <v>5.46</v>
      </c>
      <c r="V138" s="56">
        <v>6.02</v>
      </c>
      <c r="W138" s="1">
        <v>2.5</v>
      </c>
      <c r="X138" s="28">
        <v>2.3039999999999998</v>
      </c>
      <c r="Y138" s="60">
        <v>14.8</v>
      </c>
      <c r="Z138" s="1">
        <v>83</v>
      </c>
      <c r="AA138" s="60">
        <v>0.9</v>
      </c>
      <c r="AB138" s="1">
        <v>85</v>
      </c>
      <c r="AC138" s="1">
        <v>51</v>
      </c>
      <c r="AD138" s="1">
        <v>36</v>
      </c>
      <c r="AE138" s="36">
        <v>5.0999999999999996</v>
      </c>
    </row>
    <row r="139" spans="1:31" x14ac:dyDescent="0.2">
      <c r="A139" s="1">
        <v>14</v>
      </c>
      <c r="B139" s="1" t="s">
        <v>62</v>
      </c>
      <c r="C139" s="28">
        <v>2.363</v>
      </c>
      <c r="D139" s="1">
        <v>19</v>
      </c>
      <c r="E139" s="1">
        <v>2</v>
      </c>
      <c r="F139" s="1">
        <v>1</v>
      </c>
      <c r="G139" s="11">
        <v>2.6215000000000002</v>
      </c>
      <c r="H139" s="12">
        <v>1.4365000000000001</v>
      </c>
      <c r="I139" s="13">
        <v>2.625</v>
      </c>
      <c r="J139" s="18">
        <f t="shared" si="5"/>
        <v>2.2057214976861594</v>
      </c>
      <c r="K139" s="18">
        <f t="shared" si="4"/>
        <v>6.655882450860795</v>
      </c>
      <c r="L139" s="33">
        <v>400</v>
      </c>
      <c r="M139" s="1">
        <v>1</v>
      </c>
      <c r="N139" s="38">
        <v>45661</v>
      </c>
      <c r="O139" s="44">
        <v>1732</v>
      </c>
      <c r="P139" s="44">
        <v>4318</v>
      </c>
      <c r="Q139" s="65">
        <v>0.63700000000000001</v>
      </c>
      <c r="R139" s="69">
        <v>876.7</v>
      </c>
      <c r="S139" s="74">
        <v>965</v>
      </c>
      <c r="T139" s="49">
        <v>512500</v>
      </c>
      <c r="U139" s="56">
        <v>5.46</v>
      </c>
      <c r="V139" s="56">
        <v>6.02</v>
      </c>
      <c r="W139" s="1">
        <v>2.5</v>
      </c>
      <c r="X139" s="28">
        <v>2.3039999999999998</v>
      </c>
      <c r="Y139" s="60">
        <v>14.8</v>
      </c>
      <c r="Z139" s="1">
        <v>83</v>
      </c>
      <c r="AA139" s="60">
        <v>0.9</v>
      </c>
      <c r="AB139" s="1">
        <v>85</v>
      </c>
      <c r="AC139" s="1">
        <v>51</v>
      </c>
      <c r="AD139" s="1">
        <v>36</v>
      </c>
      <c r="AE139" s="36">
        <v>5.0999999999999996</v>
      </c>
    </row>
    <row r="140" spans="1:31" x14ac:dyDescent="0.2">
      <c r="A140" s="1">
        <v>14</v>
      </c>
      <c r="B140" s="1" t="s">
        <v>62</v>
      </c>
      <c r="C140" s="28">
        <v>2.363</v>
      </c>
      <c r="D140" s="1">
        <v>19</v>
      </c>
      <c r="E140" s="1">
        <v>2</v>
      </c>
      <c r="F140" s="1">
        <v>2</v>
      </c>
      <c r="G140" s="11">
        <v>2.5640000000000001</v>
      </c>
      <c r="H140" s="12">
        <v>1.4039999999999999</v>
      </c>
      <c r="I140" s="13">
        <v>2.57</v>
      </c>
      <c r="J140" s="18">
        <f t="shared" si="5"/>
        <v>2.1989708404802748</v>
      </c>
      <c r="K140" s="18">
        <f t="shared" si="4"/>
        <v>6.9415640930903582</v>
      </c>
      <c r="L140" s="33">
        <v>600</v>
      </c>
      <c r="M140" s="1">
        <v>2</v>
      </c>
      <c r="N140" s="38">
        <v>45662</v>
      </c>
      <c r="O140" s="44">
        <v>2903</v>
      </c>
      <c r="P140" s="44">
        <v>4832</v>
      </c>
      <c r="Q140" s="65">
        <v>1.4</v>
      </c>
      <c r="R140" s="69">
        <v>1450.9</v>
      </c>
      <c r="S140" s="74">
        <v>1447</v>
      </c>
      <c r="T140" s="49">
        <v>50000</v>
      </c>
      <c r="U140" s="56">
        <v>5.46</v>
      </c>
      <c r="V140" s="56">
        <v>6.02</v>
      </c>
      <c r="W140" s="1">
        <v>2.5</v>
      </c>
      <c r="X140" s="28">
        <v>2.3039999999999998</v>
      </c>
      <c r="Y140" s="60">
        <v>14.8</v>
      </c>
      <c r="Z140" s="1">
        <v>83</v>
      </c>
      <c r="AA140" s="60">
        <v>0.9</v>
      </c>
      <c r="AB140" s="1">
        <v>85</v>
      </c>
      <c r="AC140" s="1">
        <v>51</v>
      </c>
      <c r="AD140" s="1">
        <v>36</v>
      </c>
      <c r="AE140" s="36">
        <v>5.0999999999999996</v>
      </c>
    </row>
    <row r="141" spans="1:31" x14ac:dyDescent="0.2">
      <c r="A141" s="1">
        <v>14</v>
      </c>
      <c r="B141" s="1" t="s">
        <v>62</v>
      </c>
      <c r="C141" s="28">
        <v>2.363</v>
      </c>
      <c r="D141" s="1">
        <v>19</v>
      </c>
      <c r="E141" s="1">
        <v>2</v>
      </c>
      <c r="F141" s="1">
        <v>3</v>
      </c>
      <c r="G141" s="11">
        <v>2.597</v>
      </c>
      <c r="H141" s="12">
        <v>1.425</v>
      </c>
      <c r="I141" s="13">
        <v>2.6019999999999999</v>
      </c>
      <c r="J141" s="18">
        <f t="shared" si="5"/>
        <v>2.2064570943075621</v>
      </c>
      <c r="K141" s="18">
        <f t="shared" si="4"/>
        <v>6.6247526742462037</v>
      </c>
      <c r="L141" s="33"/>
      <c r="M141" s="1"/>
      <c r="N141" s="38"/>
      <c r="O141" s="44"/>
      <c r="P141" s="44"/>
      <c r="Q141" s="65"/>
      <c r="R141" s="69"/>
      <c r="S141" s="74"/>
      <c r="T141" s="49"/>
      <c r="U141" s="56">
        <v>5.46</v>
      </c>
      <c r="V141" s="56">
        <v>6.02</v>
      </c>
      <c r="W141" s="1">
        <v>2.5</v>
      </c>
      <c r="X141" s="28">
        <v>2.3039999999999998</v>
      </c>
      <c r="Y141" s="60">
        <v>14.8</v>
      </c>
      <c r="Z141" s="1">
        <v>83</v>
      </c>
      <c r="AA141" s="60">
        <v>0.9</v>
      </c>
      <c r="AB141" s="1">
        <v>85</v>
      </c>
      <c r="AC141" s="1">
        <v>51</v>
      </c>
      <c r="AD141" s="1">
        <v>36</v>
      </c>
      <c r="AE141" s="36">
        <v>5.0999999999999996</v>
      </c>
    </row>
    <row r="142" spans="1:31" ht="16" thickBot="1" x14ac:dyDescent="0.25">
      <c r="A142" s="1">
        <v>14</v>
      </c>
      <c r="B142" s="1" t="s">
        <v>62</v>
      </c>
      <c r="C142" s="29">
        <v>2.363</v>
      </c>
      <c r="D142" s="2">
        <v>19</v>
      </c>
      <c r="E142" s="2">
        <v>2</v>
      </c>
      <c r="F142" s="2">
        <v>4</v>
      </c>
      <c r="G142" s="16">
        <v>2.5920000000000001</v>
      </c>
      <c r="H142" s="10">
        <v>1.4195</v>
      </c>
      <c r="I142" s="17">
        <v>2.5960000000000001</v>
      </c>
      <c r="J142" s="20">
        <f t="shared" si="5"/>
        <v>2.2031449213769654</v>
      </c>
      <c r="K142" s="20">
        <f t="shared" si="4"/>
        <v>6.7649208050374332</v>
      </c>
      <c r="L142" s="34"/>
      <c r="M142" s="2"/>
      <c r="N142" s="39"/>
      <c r="O142" s="46"/>
      <c r="P142" s="46"/>
      <c r="Q142" s="66"/>
      <c r="R142" s="70"/>
      <c r="S142" s="76"/>
      <c r="T142" s="50"/>
      <c r="U142" s="57">
        <v>5.46</v>
      </c>
      <c r="V142" s="57">
        <v>6.02</v>
      </c>
      <c r="W142" s="2">
        <v>2.5</v>
      </c>
      <c r="X142" s="29">
        <v>2.3039999999999998</v>
      </c>
      <c r="Y142" s="61">
        <v>14.8</v>
      </c>
      <c r="Z142" s="2">
        <v>83</v>
      </c>
      <c r="AA142" s="61">
        <v>0.9</v>
      </c>
      <c r="AB142" s="2">
        <v>85</v>
      </c>
      <c r="AC142" s="2">
        <v>51</v>
      </c>
      <c r="AD142" s="2">
        <v>36</v>
      </c>
      <c r="AE142" s="4">
        <v>5.0999999999999996</v>
      </c>
    </row>
    <row r="143" spans="1:31" x14ac:dyDescent="0.2">
      <c r="A143" s="1">
        <v>15</v>
      </c>
      <c r="B143" s="1" t="s">
        <v>63</v>
      </c>
      <c r="C143" s="28">
        <v>2.3679999999999999</v>
      </c>
      <c r="D143" s="1">
        <v>19</v>
      </c>
      <c r="E143" s="26">
        <v>1</v>
      </c>
      <c r="F143" s="26">
        <v>0</v>
      </c>
      <c r="G143" s="21">
        <v>24.047999999999998</v>
      </c>
      <c r="H143" s="22">
        <v>13.241</v>
      </c>
      <c r="I143" s="23">
        <v>24.22</v>
      </c>
      <c r="J143" s="24">
        <f t="shared" si="5"/>
        <v>2.1903634210766008</v>
      </c>
      <c r="K143" s="24">
        <f t="shared" si="4"/>
        <v>7.5015447180489474</v>
      </c>
      <c r="L143" s="33">
        <v>0</v>
      </c>
      <c r="M143" s="1"/>
      <c r="N143" s="38"/>
      <c r="O143" s="44"/>
      <c r="P143" s="44"/>
      <c r="Q143" s="65"/>
      <c r="R143" s="69"/>
      <c r="S143" s="74"/>
      <c r="T143" s="49"/>
      <c r="U143" s="56">
        <v>5.34</v>
      </c>
      <c r="V143" s="56">
        <v>5.75</v>
      </c>
      <c r="W143" s="1">
        <v>3.3</v>
      </c>
      <c r="X143" s="28">
        <v>2.2890000000000001</v>
      </c>
      <c r="Y143" s="60">
        <v>15.3</v>
      </c>
      <c r="Z143" s="1">
        <v>78</v>
      </c>
      <c r="AA143" s="60">
        <v>0.9</v>
      </c>
      <c r="AB143" s="1">
        <v>81</v>
      </c>
      <c r="AC143" s="1">
        <v>50</v>
      </c>
      <c r="AD143" s="1">
        <v>35</v>
      </c>
      <c r="AE143" s="36">
        <v>4.7</v>
      </c>
    </row>
    <row r="144" spans="1:31" x14ac:dyDescent="0.2">
      <c r="A144" s="1">
        <v>15</v>
      </c>
      <c r="B144" s="1" t="s">
        <v>63</v>
      </c>
      <c r="C144" s="28">
        <v>2.3679999999999999</v>
      </c>
      <c r="D144" s="1">
        <v>19</v>
      </c>
      <c r="E144" s="1">
        <v>1</v>
      </c>
      <c r="F144" s="1">
        <v>1</v>
      </c>
      <c r="G144" s="11">
        <v>2.5834999999999999</v>
      </c>
      <c r="H144" s="12">
        <v>1.4195</v>
      </c>
      <c r="I144" s="13">
        <v>2.5870000000000002</v>
      </c>
      <c r="J144" s="18">
        <f t="shared" si="5"/>
        <v>2.2128479657387574</v>
      </c>
      <c r="K144" s="18">
        <f t="shared" si="4"/>
        <v>6.5520284738700418</v>
      </c>
      <c r="L144" s="33">
        <v>600</v>
      </c>
      <c r="M144" s="1">
        <v>1</v>
      </c>
      <c r="N144" s="38">
        <v>45667</v>
      </c>
      <c r="O144" s="44">
        <v>2722</v>
      </c>
      <c r="P144" s="44">
        <v>4539</v>
      </c>
      <c r="Q144" s="65">
        <v>1.5780000000000001</v>
      </c>
      <c r="R144" s="69">
        <v>1395.3</v>
      </c>
      <c r="S144" s="74">
        <v>2204</v>
      </c>
      <c r="T144" s="49">
        <v>106920</v>
      </c>
      <c r="U144" s="56">
        <v>5.34</v>
      </c>
      <c r="V144" s="56">
        <v>5.75</v>
      </c>
      <c r="W144" s="1">
        <v>3.3</v>
      </c>
      <c r="X144" s="28">
        <v>2.2890000000000001</v>
      </c>
      <c r="Y144" s="60">
        <v>15.3</v>
      </c>
      <c r="Z144" s="1">
        <v>78</v>
      </c>
      <c r="AA144" s="60">
        <v>0.9</v>
      </c>
      <c r="AB144" s="1">
        <v>81</v>
      </c>
      <c r="AC144" s="1">
        <v>50</v>
      </c>
      <c r="AD144" s="1">
        <v>35</v>
      </c>
      <c r="AE144" s="36">
        <v>4.7</v>
      </c>
    </row>
    <row r="145" spans="1:31" x14ac:dyDescent="0.2">
      <c r="A145" s="1">
        <v>15</v>
      </c>
      <c r="B145" s="1" t="s">
        <v>63</v>
      </c>
      <c r="C145" s="28">
        <v>2.3679999999999999</v>
      </c>
      <c r="D145" s="1">
        <v>19</v>
      </c>
      <c r="E145" s="1">
        <v>1</v>
      </c>
      <c r="F145" s="1">
        <v>2</v>
      </c>
      <c r="G145" s="11">
        <v>2.7214999999999998</v>
      </c>
      <c r="H145" s="12">
        <v>1.494</v>
      </c>
      <c r="I145" s="13">
        <v>2.7280000000000002</v>
      </c>
      <c r="J145" s="18">
        <f t="shared" si="5"/>
        <v>2.2054294975688813</v>
      </c>
      <c r="K145" s="18">
        <f t="shared" si="4"/>
        <v>6.865308379692503</v>
      </c>
      <c r="L145" s="33">
        <v>600</v>
      </c>
      <c r="M145" s="1">
        <v>2</v>
      </c>
      <c r="N145" s="38">
        <v>45667</v>
      </c>
      <c r="O145" s="44">
        <v>2968</v>
      </c>
      <c r="P145" s="44">
        <v>4949</v>
      </c>
      <c r="Q145" s="65">
        <v>1.6539999999999999</v>
      </c>
      <c r="R145" s="69">
        <v>1523.1</v>
      </c>
      <c r="S145" s="74">
        <v>1484</v>
      </c>
      <c r="T145" s="49">
        <v>45000</v>
      </c>
      <c r="U145" s="56">
        <v>5.34</v>
      </c>
      <c r="V145" s="56">
        <v>5.75</v>
      </c>
      <c r="W145" s="1">
        <v>3.3</v>
      </c>
      <c r="X145" s="28">
        <v>2.2890000000000001</v>
      </c>
      <c r="Y145" s="60">
        <v>15.3</v>
      </c>
      <c r="Z145" s="1">
        <v>78</v>
      </c>
      <c r="AA145" s="60">
        <v>0.9</v>
      </c>
      <c r="AB145" s="1">
        <v>81</v>
      </c>
      <c r="AC145" s="1">
        <v>50</v>
      </c>
      <c r="AD145" s="1">
        <v>35</v>
      </c>
      <c r="AE145" s="36">
        <v>4.7</v>
      </c>
    </row>
    <row r="146" spans="1:31" x14ac:dyDescent="0.2">
      <c r="A146" s="1">
        <v>15</v>
      </c>
      <c r="B146" s="1" t="s">
        <v>63</v>
      </c>
      <c r="C146" s="28">
        <v>2.3679999999999999</v>
      </c>
      <c r="D146" s="1">
        <v>19</v>
      </c>
      <c r="E146" s="1">
        <v>1</v>
      </c>
      <c r="F146" s="1">
        <v>3</v>
      </c>
      <c r="G146" s="11">
        <v>2.6230000000000002</v>
      </c>
      <c r="H146" s="12">
        <v>1.4365000000000001</v>
      </c>
      <c r="I146" s="13">
        <v>2.6265000000000001</v>
      </c>
      <c r="J146" s="18">
        <f t="shared" si="5"/>
        <v>2.2042016806722691</v>
      </c>
      <c r="K146" s="18">
        <f t="shared" si="4"/>
        <v>6.9171587553940377</v>
      </c>
      <c r="L146" s="33">
        <v>400</v>
      </c>
      <c r="M146" s="1">
        <v>3</v>
      </c>
      <c r="N146" s="38">
        <v>45667</v>
      </c>
      <c r="O146" s="44">
        <v>1997</v>
      </c>
      <c r="P146" s="44">
        <v>4994</v>
      </c>
      <c r="Q146" s="65">
        <v>0.71499999999999997</v>
      </c>
      <c r="R146" s="69">
        <v>976.6</v>
      </c>
      <c r="S146" s="74">
        <v>1923</v>
      </c>
      <c r="T146" s="49">
        <v>725000</v>
      </c>
      <c r="U146" s="56">
        <v>5.34</v>
      </c>
      <c r="V146" s="56">
        <v>5.75</v>
      </c>
      <c r="W146" s="1">
        <v>3.3</v>
      </c>
      <c r="X146" s="28">
        <v>2.2890000000000001</v>
      </c>
      <c r="Y146" s="60">
        <v>15.3</v>
      </c>
      <c r="Z146" s="1">
        <v>78</v>
      </c>
      <c r="AA146" s="60">
        <v>0.9</v>
      </c>
      <c r="AB146" s="1">
        <v>81</v>
      </c>
      <c r="AC146" s="1">
        <v>50</v>
      </c>
      <c r="AD146" s="1">
        <v>35</v>
      </c>
      <c r="AE146" s="36">
        <v>4.7</v>
      </c>
    </row>
    <row r="147" spans="1:31" x14ac:dyDescent="0.2">
      <c r="A147" s="1">
        <v>15</v>
      </c>
      <c r="B147" s="1" t="s">
        <v>63</v>
      </c>
      <c r="C147" s="28">
        <v>2.3679999999999999</v>
      </c>
      <c r="D147" s="1">
        <v>19</v>
      </c>
      <c r="E147" s="5">
        <v>1</v>
      </c>
      <c r="F147" s="5">
        <v>4</v>
      </c>
      <c r="G147" s="14">
        <v>2.6604999999999999</v>
      </c>
      <c r="H147" s="9">
        <v>1.4535</v>
      </c>
      <c r="I147" s="15">
        <v>2.6644999999999999</v>
      </c>
      <c r="J147" s="19">
        <f t="shared" si="5"/>
        <v>2.1969446738232867</v>
      </c>
      <c r="K147" s="19">
        <f t="shared" si="4"/>
        <v>7.2236201932733612</v>
      </c>
      <c r="L147" s="41">
        <v>600</v>
      </c>
      <c r="M147" s="5">
        <v>4</v>
      </c>
      <c r="N147" s="42">
        <v>45668</v>
      </c>
      <c r="O147" s="47">
        <v>2773</v>
      </c>
      <c r="P147" s="47">
        <v>4628</v>
      </c>
      <c r="Q147" s="67">
        <v>1.6659999999999999</v>
      </c>
      <c r="R147" s="71">
        <v>1389.1</v>
      </c>
      <c r="S147" s="75">
        <v>1388</v>
      </c>
      <c r="T147" s="51">
        <v>95000</v>
      </c>
      <c r="U147" s="58">
        <v>5.34</v>
      </c>
      <c r="V147" s="58">
        <v>5.75</v>
      </c>
      <c r="W147" s="5">
        <v>3.3</v>
      </c>
      <c r="X147" s="53">
        <v>2.2890000000000001</v>
      </c>
      <c r="Y147" s="62">
        <v>15.3</v>
      </c>
      <c r="Z147" s="5">
        <v>78</v>
      </c>
      <c r="AA147" s="62">
        <v>0.9</v>
      </c>
      <c r="AB147" s="5">
        <v>81</v>
      </c>
      <c r="AC147" s="5">
        <v>50</v>
      </c>
      <c r="AD147" s="5">
        <v>35</v>
      </c>
      <c r="AE147" s="43">
        <v>4.7</v>
      </c>
    </row>
    <row r="148" spans="1:31" x14ac:dyDescent="0.2">
      <c r="A148" s="1">
        <v>15</v>
      </c>
      <c r="B148" s="1" t="s">
        <v>64</v>
      </c>
      <c r="C148" s="28">
        <v>2.3679999999999999</v>
      </c>
      <c r="D148" s="1">
        <v>19</v>
      </c>
      <c r="E148" s="26">
        <v>2</v>
      </c>
      <c r="F148" s="26">
        <v>0</v>
      </c>
      <c r="G148" s="21">
        <v>24.02</v>
      </c>
      <c r="H148" s="22">
        <v>13.236000000000001</v>
      </c>
      <c r="I148" s="23">
        <v>24.219000000000001</v>
      </c>
      <c r="J148" s="24">
        <f t="shared" si="5"/>
        <v>2.1870162979149592</v>
      </c>
      <c r="K148" s="24">
        <f t="shared" si="4"/>
        <v>7.6428928245371957</v>
      </c>
      <c r="L148" s="33">
        <v>0</v>
      </c>
      <c r="M148" s="1"/>
      <c r="N148" s="38"/>
      <c r="O148" s="44"/>
      <c r="P148" s="44"/>
      <c r="Q148" s="65"/>
      <c r="R148" s="69"/>
      <c r="S148" s="74"/>
      <c r="T148" s="49"/>
      <c r="U148" s="56">
        <v>5.34</v>
      </c>
      <c r="V148" s="56">
        <v>5.75</v>
      </c>
      <c r="W148" s="1">
        <v>3.3</v>
      </c>
      <c r="X148" s="28">
        <v>2.2890000000000001</v>
      </c>
      <c r="Y148" s="60">
        <v>15.3</v>
      </c>
      <c r="Z148" s="1">
        <v>78</v>
      </c>
      <c r="AA148" s="60">
        <v>0.9</v>
      </c>
      <c r="AB148" s="1">
        <v>81</v>
      </c>
      <c r="AC148" s="1">
        <v>50</v>
      </c>
      <c r="AD148" s="1">
        <v>35</v>
      </c>
      <c r="AE148" s="36">
        <v>4.7</v>
      </c>
    </row>
    <row r="149" spans="1:31" x14ac:dyDescent="0.2">
      <c r="A149" s="1">
        <v>15</v>
      </c>
      <c r="B149" s="1" t="s">
        <v>64</v>
      </c>
      <c r="C149" s="28">
        <v>2.3679999999999999</v>
      </c>
      <c r="D149" s="1">
        <v>19</v>
      </c>
      <c r="E149" s="1">
        <v>2</v>
      </c>
      <c r="F149" s="1">
        <v>1</v>
      </c>
      <c r="G149" s="11">
        <v>2.6429999999999998</v>
      </c>
      <c r="H149" s="12">
        <v>1.4564999999999999</v>
      </c>
      <c r="I149" s="13">
        <v>2.6475</v>
      </c>
      <c r="J149" s="18">
        <f t="shared" si="5"/>
        <v>2.219143576826196</v>
      </c>
      <c r="K149" s="18">
        <f t="shared" si="4"/>
        <v>6.2861665191640164</v>
      </c>
      <c r="L149" s="33">
        <v>400</v>
      </c>
      <c r="M149" s="1">
        <v>1</v>
      </c>
      <c r="N149" s="38">
        <v>45669</v>
      </c>
      <c r="O149" s="44">
        <v>2335</v>
      </c>
      <c r="P149" s="44">
        <v>5837</v>
      </c>
      <c r="Q149" s="65">
        <v>0.748</v>
      </c>
      <c r="R149" s="69">
        <v>1149.9000000000001</v>
      </c>
      <c r="S149" s="74">
        <v>3468</v>
      </c>
      <c r="T149" s="49">
        <v>345740</v>
      </c>
      <c r="U149" s="56">
        <v>5.34</v>
      </c>
      <c r="V149" s="56">
        <v>5.75</v>
      </c>
      <c r="W149" s="1">
        <v>3.3</v>
      </c>
      <c r="X149" s="28">
        <v>2.2890000000000001</v>
      </c>
      <c r="Y149" s="60">
        <v>15.3</v>
      </c>
      <c r="Z149" s="1">
        <v>78</v>
      </c>
      <c r="AA149" s="60">
        <v>0.9</v>
      </c>
      <c r="AB149" s="1">
        <v>81</v>
      </c>
      <c r="AC149" s="1">
        <v>50</v>
      </c>
      <c r="AD149" s="1">
        <v>35</v>
      </c>
      <c r="AE149" s="36">
        <v>4.7</v>
      </c>
    </row>
    <row r="150" spans="1:31" x14ac:dyDescent="0.2">
      <c r="A150" s="1">
        <v>15</v>
      </c>
      <c r="B150" s="1" t="s">
        <v>64</v>
      </c>
      <c r="C150" s="28">
        <v>2.3679999999999999</v>
      </c>
      <c r="D150" s="1">
        <v>19</v>
      </c>
      <c r="E150" s="1">
        <v>2</v>
      </c>
      <c r="F150" s="1">
        <v>2</v>
      </c>
      <c r="G150" s="11">
        <v>2.6964999999999999</v>
      </c>
      <c r="H150" s="12">
        <v>1.4824999999999999</v>
      </c>
      <c r="I150" s="13">
        <v>2.7014999999999998</v>
      </c>
      <c r="J150" s="18">
        <f t="shared" si="5"/>
        <v>2.2120590648072191</v>
      </c>
      <c r="K150" s="18">
        <f t="shared" si="4"/>
        <v>6.5853435469924282</v>
      </c>
      <c r="L150" s="33">
        <v>400</v>
      </c>
      <c r="M150" s="1">
        <v>2</v>
      </c>
      <c r="N150" s="38">
        <v>45669</v>
      </c>
      <c r="O150" s="44">
        <v>2505</v>
      </c>
      <c r="P150" s="44">
        <v>6268</v>
      </c>
      <c r="Q150" s="65">
        <v>0.82099999999999995</v>
      </c>
      <c r="R150" s="69">
        <v>1239.7</v>
      </c>
      <c r="S150" s="74">
        <v>2864</v>
      </c>
      <c r="T150" s="49">
        <v>673760</v>
      </c>
      <c r="U150" s="56">
        <v>5.34</v>
      </c>
      <c r="V150" s="56">
        <v>5.75</v>
      </c>
      <c r="W150" s="1">
        <v>3.3</v>
      </c>
      <c r="X150" s="28">
        <v>2.2890000000000001</v>
      </c>
      <c r="Y150" s="60">
        <v>15.3</v>
      </c>
      <c r="Z150" s="1">
        <v>78</v>
      </c>
      <c r="AA150" s="60">
        <v>0.9</v>
      </c>
      <c r="AB150" s="1">
        <v>81</v>
      </c>
      <c r="AC150" s="1">
        <v>50</v>
      </c>
      <c r="AD150" s="1">
        <v>35</v>
      </c>
      <c r="AE150" s="36">
        <v>4.7</v>
      </c>
    </row>
    <row r="151" spans="1:31" x14ac:dyDescent="0.2">
      <c r="A151" s="1">
        <v>15</v>
      </c>
      <c r="B151" s="1" t="s">
        <v>64</v>
      </c>
      <c r="C151" s="28">
        <v>2.3679999999999999</v>
      </c>
      <c r="D151" s="1">
        <v>19</v>
      </c>
      <c r="E151" s="1">
        <v>2</v>
      </c>
      <c r="F151" s="1">
        <v>3</v>
      </c>
      <c r="G151" s="11">
        <v>2.6635</v>
      </c>
      <c r="H151" s="12">
        <v>1.472</v>
      </c>
      <c r="I151" s="13">
        <v>2.6749999999999998</v>
      </c>
      <c r="J151" s="18">
        <f t="shared" si="5"/>
        <v>2.2140482128013304</v>
      </c>
      <c r="K151" s="18">
        <f t="shared" si="4"/>
        <v>6.5013423648086821</v>
      </c>
      <c r="L151" s="33"/>
      <c r="M151" s="1"/>
      <c r="N151" s="38"/>
      <c r="O151" s="44"/>
      <c r="P151" s="44"/>
      <c r="Q151" s="65"/>
      <c r="R151" s="69"/>
      <c r="S151" s="74"/>
      <c r="T151" s="49"/>
      <c r="U151" s="56">
        <v>5.34</v>
      </c>
      <c r="V151" s="56">
        <v>5.75</v>
      </c>
      <c r="W151" s="1">
        <v>3.3</v>
      </c>
      <c r="X151" s="28">
        <v>2.2890000000000001</v>
      </c>
      <c r="Y151" s="60">
        <v>15.3</v>
      </c>
      <c r="Z151" s="1">
        <v>78</v>
      </c>
      <c r="AA151" s="60">
        <v>0.9</v>
      </c>
      <c r="AB151" s="1">
        <v>81</v>
      </c>
      <c r="AC151" s="1">
        <v>50</v>
      </c>
      <c r="AD151" s="1">
        <v>35</v>
      </c>
      <c r="AE151" s="36">
        <v>4.7</v>
      </c>
    </row>
    <row r="152" spans="1:31" ht="16" thickBot="1" x14ac:dyDescent="0.25">
      <c r="A152" s="1">
        <v>15</v>
      </c>
      <c r="B152" s="1" t="s">
        <v>64</v>
      </c>
      <c r="C152" s="29">
        <v>2.3679999999999999</v>
      </c>
      <c r="D152" s="2">
        <v>19</v>
      </c>
      <c r="E152" s="2">
        <v>2</v>
      </c>
      <c r="F152" s="2">
        <v>4</v>
      </c>
      <c r="G152" s="16">
        <v>2.5895000000000001</v>
      </c>
      <c r="H152" s="10">
        <v>1.4185000000000001</v>
      </c>
      <c r="I152" s="17">
        <v>2.5920000000000001</v>
      </c>
      <c r="J152" s="20">
        <f t="shared" si="5"/>
        <v>2.2066467831273968</v>
      </c>
      <c r="K152" s="20">
        <f t="shared" si="4"/>
        <v>6.8139027395524909</v>
      </c>
      <c r="L152" s="34"/>
      <c r="M152" s="2"/>
      <c r="N152" s="39"/>
      <c r="O152" s="46"/>
      <c r="P152" s="46"/>
      <c r="Q152" s="66"/>
      <c r="R152" s="70"/>
      <c r="S152" s="76"/>
      <c r="T152" s="50"/>
      <c r="U152" s="57">
        <v>5.34</v>
      </c>
      <c r="V152" s="57">
        <v>5.75</v>
      </c>
      <c r="W152" s="2">
        <v>3.3</v>
      </c>
      <c r="X152" s="29">
        <v>2.2890000000000001</v>
      </c>
      <c r="Y152" s="61">
        <v>15.3</v>
      </c>
      <c r="Z152" s="2">
        <v>78</v>
      </c>
      <c r="AA152" s="61">
        <v>0.9</v>
      </c>
      <c r="AB152" s="2">
        <v>81</v>
      </c>
      <c r="AC152" s="2">
        <v>50</v>
      </c>
      <c r="AD152" s="2">
        <v>35</v>
      </c>
      <c r="AE152" s="4">
        <v>4.7</v>
      </c>
    </row>
    <row r="153" spans="1:31" x14ac:dyDescent="0.2">
      <c r="A153" s="1">
        <v>16</v>
      </c>
      <c r="B153" s="1" t="s">
        <v>65</v>
      </c>
      <c r="C153" s="28">
        <v>2.387</v>
      </c>
      <c r="D153" s="1">
        <v>19</v>
      </c>
      <c r="E153" s="26">
        <v>1</v>
      </c>
      <c r="F153" s="26">
        <v>0</v>
      </c>
      <c r="G153" s="21">
        <v>24.442</v>
      </c>
      <c r="H153" s="22">
        <v>13.570499999999999</v>
      </c>
      <c r="I153" s="23">
        <v>24.698499999999999</v>
      </c>
      <c r="J153" s="24">
        <f t="shared" si="5"/>
        <v>2.1964414090582314</v>
      </c>
      <c r="K153" s="24">
        <f t="shared" si="4"/>
        <v>7.9831835333795009</v>
      </c>
      <c r="L153" s="33">
        <v>0</v>
      </c>
      <c r="M153" s="1"/>
      <c r="N153" s="38"/>
      <c r="O153" s="44"/>
      <c r="P153" s="44"/>
      <c r="Q153" s="65"/>
      <c r="R153" s="69"/>
      <c r="S153" s="74"/>
      <c r="T153" s="49"/>
      <c r="U153" s="56">
        <v>4.7300000000000004</v>
      </c>
      <c r="V153" s="56">
        <v>5.55</v>
      </c>
      <c r="W153" s="1">
        <v>3.5</v>
      </c>
      <c r="X153" s="28">
        <v>2.302</v>
      </c>
      <c r="Y153" s="60">
        <v>14.2</v>
      </c>
      <c r="Z153" s="1">
        <v>75</v>
      </c>
      <c r="AA153" s="60">
        <v>1.1000000000000001</v>
      </c>
      <c r="AB153" s="1">
        <v>88</v>
      </c>
      <c r="AC153" s="1">
        <v>58</v>
      </c>
      <c r="AD153" s="1">
        <v>39</v>
      </c>
      <c r="AE153" s="36">
        <v>5.3</v>
      </c>
    </row>
    <row r="154" spans="1:31" x14ac:dyDescent="0.2">
      <c r="A154" s="1">
        <v>16</v>
      </c>
      <c r="B154" s="1" t="s">
        <v>65</v>
      </c>
      <c r="C154" s="28">
        <v>2.387</v>
      </c>
      <c r="D154" s="1">
        <v>19</v>
      </c>
      <c r="E154" s="1">
        <v>1</v>
      </c>
      <c r="F154" s="1">
        <v>1</v>
      </c>
      <c r="G154" s="11">
        <v>2.6905000000000001</v>
      </c>
      <c r="H154" s="12">
        <v>1.4930000000000001</v>
      </c>
      <c r="I154" s="13">
        <v>2.6949999999999998</v>
      </c>
      <c r="J154" s="18">
        <f t="shared" si="5"/>
        <v>2.2383527454242933</v>
      </c>
      <c r="K154" s="18">
        <f t="shared" si="4"/>
        <v>6.2273671795436414</v>
      </c>
      <c r="L154" s="33">
        <v>600</v>
      </c>
      <c r="M154" s="1">
        <v>1</v>
      </c>
      <c r="N154" s="38">
        <v>45677</v>
      </c>
      <c r="O154" s="44">
        <v>2793</v>
      </c>
      <c r="P154" s="44">
        <v>4643</v>
      </c>
      <c r="Q154" s="65">
        <v>1.4630000000000001</v>
      </c>
      <c r="R154" s="69">
        <v>1391.5</v>
      </c>
      <c r="S154" s="74">
        <v>1393</v>
      </c>
      <c r="T154" s="49">
        <v>14000</v>
      </c>
      <c r="U154" s="56">
        <v>4.7300000000000004</v>
      </c>
      <c r="V154" s="56">
        <v>5.55</v>
      </c>
      <c r="W154" s="1">
        <v>3.5</v>
      </c>
      <c r="X154" s="28">
        <v>2.302</v>
      </c>
      <c r="Y154" s="60">
        <v>14.2</v>
      </c>
      <c r="Z154" s="1">
        <v>75</v>
      </c>
      <c r="AA154" s="60">
        <v>1.1000000000000001</v>
      </c>
      <c r="AB154" s="1">
        <v>88</v>
      </c>
      <c r="AC154" s="1">
        <v>58</v>
      </c>
      <c r="AD154" s="1">
        <v>39</v>
      </c>
      <c r="AE154" s="36">
        <v>5.3</v>
      </c>
    </row>
    <row r="155" spans="1:31" x14ac:dyDescent="0.2">
      <c r="A155" s="1">
        <v>16</v>
      </c>
      <c r="B155" s="1" t="s">
        <v>65</v>
      </c>
      <c r="C155" s="28">
        <v>2.387</v>
      </c>
      <c r="D155" s="1">
        <v>19</v>
      </c>
      <c r="E155" s="1">
        <v>1</v>
      </c>
      <c r="F155" s="1">
        <v>2</v>
      </c>
      <c r="G155" s="11">
        <v>2.6164999999999998</v>
      </c>
      <c r="H155" s="12">
        <v>1.4504999999999999</v>
      </c>
      <c r="I155" s="13">
        <v>2.62</v>
      </c>
      <c r="J155" s="18">
        <f t="shared" si="5"/>
        <v>2.2372808892689178</v>
      </c>
      <c r="K155" s="18">
        <f t="shared" si="4"/>
        <v>6.2722710821567773</v>
      </c>
      <c r="L155" s="33">
        <v>400</v>
      </c>
      <c r="M155" s="1">
        <v>2</v>
      </c>
      <c r="N155" s="38">
        <v>45677</v>
      </c>
      <c r="O155" s="44">
        <v>2050</v>
      </c>
      <c r="P155" s="44">
        <v>5123</v>
      </c>
      <c r="Q155" s="65">
        <v>0.55200000000000005</v>
      </c>
      <c r="R155" s="69">
        <v>1081.7</v>
      </c>
      <c r="S155" s="74">
        <v>2963</v>
      </c>
      <c r="T155" s="49">
        <v>659840</v>
      </c>
      <c r="U155" s="56">
        <v>4.7300000000000004</v>
      </c>
      <c r="V155" s="56">
        <v>5.55</v>
      </c>
      <c r="W155" s="1">
        <v>3.5</v>
      </c>
      <c r="X155" s="28">
        <v>2.302</v>
      </c>
      <c r="Y155" s="60">
        <v>14.2</v>
      </c>
      <c r="Z155" s="1">
        <v>75</v>
      </c>
      <c r="AA155" s="60">
        <v>1.1000000000000001</v>
      </c>
      <c r="AB155" s="1">
        <v>88</v>
      </c>
      <c r="AC155" s="1">
        <v>58</v>
      </c>
      <c r="AD155" s="1">
        <v>39</v>
      </c>
      <c r="AE155" s="36">
        <v>5.3</v>
      </c>
    </row>
    <row r="156" spans="1:31" x14ac:dyDescent="0.2">
      <c r="A156" s="1">
        <v>16</v>
      </c>
      <c r="B156" s="1" t="s">
        <v>65</v>
      </c>
      <c r="C156" s="28">
        <v>2.387</v>
      </c>
      <c r="D156" s="1">
        <v>19</v>
      </c>
      <c r="E156" s="1">
        <v>1</v>
      </c>
      <c r="F156" s="1">
        <v>3</v>
      </c>
      <c r="G156" s="11">
        <v>2.7040000000000002</v>
      </c>
      <c r="H156" s="12">
        <v>1.4990000000000001</v>
      </c>
      <c r="I156" s="13">
        <v>2.706</v>
      </c>
      <c r="J156" s="18">
        <f t="shared" si="5"/>
        <v>2.2402651201325603</v>
      </c>
      <c r="K156" s="18">
        <f t="shared" si="4"/>
        <v>6.1472509370523509</v>
      </c>
      <c r="L156" s="33">
        <v>600</v>
      </c>
      <c r="M156" s="1">
        <v>3</v>
      </c>
      <c r="N156" s="38">
        <v>45678</v>
      </c>
      <c r="O156" s="44">
        <v>3820</v>
      </c>
      <c r="P156" s="44">
        <v>6349</v>
      </c>
      <c r="Q156" s="65">
        <v>1.744</v>
      </c>
      <c r="R156" s="69">
        <v>1884.1</v>
      </c>
      <c r="S156" s="74">
        <v>1901</v>
      </c>
      <c r="T156" s="49">
        <v>42500</v>
      </c>
      <c r="U156" s="56">
        <v>4.7300000000000004</v>
      </c>
      <c r="V156" s="56">
        <v>5.55</v>
      </c>
      <c r="W156" s="1">
        <v>3.5</v>
      </c>
      <c r="X156" s="28">
        <v>2.302</v>
      </c>
      <c r="Y156" s="60">
        <v>14.2</v>
      </c>
      <c r="Z156" s="1">
        <v>75</v>
      </c>
      <c r="AA156" s="60">
        <v>1.1000000000000001</v>
      </c>
      <c r="AB156" s="1">
        <v>88</v>
      </c>
      <c r="AC156" s="1">
        <v>58</v>
      </c>
      <c r="AD156" s="1">
        <v>39</v>
      </c>
      <c r="AE156" s="36">
        <v>5.3</v>
      </c>
    </row>
    <row r="157" spans="1:31" x14ac:dyDescent="0.2">
      <c r="A157" s="1">
        <v>16</v>
      </c>
      <c r="B157" s="1" t="s">
        <v>65</v>
      </c>
      <c r="C157" s="28">
        <v>2.387</v>
      </c>
      <c r="D157" s="1">
        <v>19</v>
      </c>
      <c r="E157" s="5">
        <v>1</v>
      </c>
      <c r="F157" s="5">
        <v>4</v>
      </c>
      <c r="G157" s="14">
        <v>2.6395</v>
      </c>
      <c r="H157" s="9">
        <v>1.4644999999999999</v>
      </c>
      <c r="I157" s="15">
        <v>2.6435</v>
      </c>
      <c r="J157" s="19">
        <f t="shared" si="5"/>
        <v>2.2387616624257842</v>
      </c>
      <c r="K157" s="19">
        <f t="shared" si="4"/>
        <v>6.2102361782243705</v>
      </c>
      <c r="L157" s="41">
        <v>400</v>
      </c>
      <c r="M157" s="5">
        <v>4</v>
      </c>
      <c r="N157" s="42">
        <v>45679</v>
      </c>
      <c r="O157" s="47">
        <v>2299</v>
      </c>
      <c r="P157" s="47">
        <v>5739</v>
      </c>
      <c r="Q157" s="67">
        <v>0.64900000000000002</v>
      </c>
      <c r="R157" s="71">
        <v>1138.3</v>
      </c>
      <c r="S157" s="75">
        <v>2709</v>
      </c>
      <c r="T157" s="51">
        <v>808960</v>
      </c>
      <c r="U157" s="58">
        <v>4.7300000000000004</v>
      </c>
      <c r="V157" s="58">
        <v>5.55</v>
      </c>
      <c r="W157" s="5">
        <v>3.5</v>
      </c>
      <c r="X157" s="53">
        <v>2.302</v>
      </c>
      <c r="Y157" s="62">
        <v>14.2</v>
      </c>
      <c r="Z157" s="5">
        <v>75</v>
      </c>
      <c r="AA157" s="62">
        <v>1.1000000000000001</v>
      </c>
      <c r="AB157" s="5">
        <v>88</v>
      </c>
      <c r="AC157" s="5">
        <v>58</v>
      </c>
      <c r="AD157" s="5">
        <v>39</v>
      </c>
      <c r="AE157" s="43">
        <v>5.3</v>
      </c>
    </row>
    <row r="158" spans="1:31" x14ac:dyDescent="0.2">
      <c r="A158" s="1">
        <v>16</v>
      </c>
      <c r="B158" s="1" t="s">
        <v>66</v>
      </c>
      <c r="C158" s="28">
        <v>2.387</v>
      </c>
      <c r="D158" s="1">
        <v>19</v>
      </c>
      <c r="E158" s="26">
        <v>2</v>
      </c>
      <c r="F158" s="26">
        <v>0</v>
      </c>
      <c r="G158" s="21">
        <v>24.004000000000001</v>
      </c>
      <c r="H158" s="22">
        <v>13.323</v>
      </c>
      <c r="I158" s="23">
        <v>24.2455</v>
      </c>
      <c r="J158" s="24">
        <f t="shared" si="5"/>
        <v>2.1976653696498056</v>
      </c>
      <c r="K158" s="24">
        <f t="shared" si="4"/>
        <v>7.9319074298363823</v>
      </c>
      <c r="L158" s="33">
        <v>0</v>
      </c>
      <c r="M158" s="1"/>
      <c r="N158" s="38"/>
      <c r="O158" s="44"/>
      <c r="P158" s="44"/>
      <c r="Q158" s="65"/>
      <c r="R158" s="69"/>
      <c r="S158" s="74"/>
      <c r="T158" s="49"/>
      <c r="U158" s="56">
        <v>4.7300000000000004</v>
      </c>
      <c r="V158" s="56">
        <v>5.55</v>
      </c>
      <c r="W158" s="1">
        <v>3.5</v>
      </c>
      <c r="X158" s="28">
        <v>2.302</v>
      </c>
      <c r="Y158" s="60">
        <v>14.2</v>
      </c>
      <c r="Z158" s="1">
        <v>75</v>
      </c>
      <c r="AA158" s="60">
        <v>1.1000000000000001</v>
      </c>
      <c r="AB158" s="1">
        <v>88</v>
      </c>
      <c r="AC158" s="1">
        <v>58</v>
      </c>
      <c r="AD158" s="1">
        <v>39</v>
      </c>
      <c r="AE158" s="36">
        <v>5.3</v>
      </c>
    </row>
    <row r="159" spans="1:31" x14ac:dyDescent="0.2">
      <c r="A159" s="1">
        <v>16</v>
      </c>
      <c r="B159" s="1" t="s">
        <v>66</v>
      </c>
      <c r="C159" s="28">
        <v>2.387</v>
      </c>
      <c r="D159" s="1">
        <v>19</v>
      </c>
      <c r="E159" s="1">
        <v>2</v>
      </c>
      <c r="F159" s="1">
        <v>1</v>
      </c>
      <c r="G159" s="11">
        <v>2.7130000000000001</v>
      </c>
      <c r="H159" s="12">
        <v>1.5035000000000001</v>
      </c>
      <c r="I159" s="13">
        <v>2.7174999999999998</v>
      </c>
      <c r="J159" s="18">
        <f t="shared" si="5"/>
        <v>2.2347611202635917</v>
      </c>
      <c r="K159" s="18">
        <f t="shared" si="4"/>
        <v>6.3778332524678794</v>
      </c>
      <c r="L159" s="33">
        <v>600</v>
      </c>
      <c r="M159" s="1">
        <v>1</v>
      </c>
      <c r="N159" s="38">
        <v>45680</v>
      </c>
      <c r="O159" s="44">
        <v>2026</v>
      </c>
      <c r="P159" s="44">
        <v>3385</v>
      </c>
      <c r="Q159" s="65">
        <v>1.36</v>
      </c>
      <c r="R159" s="69">
        <v>985.7</v>
      </c>
      <c r="S159" s="74">
        <v>1334</v>
      </c>
      <c r="T159" s="49">
        <v>41250</v>
      </c>
      <c r="U159" s="56">
        <v>4.7300000000000004</v>
      </c>
      <c r="V159" s="56">
        <v>5.55</v>
      </c>
      <c r="W159" s="1">
        <v>3.5</v>
      </c>
      <c r="X159" s="28">
        <v>2.302</v>
      </c>
      <c r="Y159" s="60">
        <v>14.2</v>
      </c>
      <c r="Z159" s="1">
        <v>75</v>
      </c>
      <c r="AA159" s="60">
        <v>1.1000000000000001</v>
      </c>
      <c r="AB159" s="1">
        <v>88</v>
      </c>
      <c r="AC159" s="1">
        <v>58</v>
      </c>
      <c r="AD159" s="1">
        <v>39</v>
      </c>
      <c r="AE159" s="36">
        <v>5.3</v>
      </c>
    </row>
    <row r="160" spans="1:31" x14ac:dyDescent="0.2">
      <c r="A160" s="1">
        <v>16</v>
      </c>
      <c r="B160" s="1" t="s">
        <v>66</v>
      </c>
      <c r="C160" s="28">
        <v>2.387</v>
      </c>
      <c r="D160" s="1">
        <v>19</v>
      </c>
      <c r="E160" s="1">
        <v>2</v>
      </c>
      <c r="F160" s="1">
        <v>2</v>
      </c>
      <c r="G160" s="11">
        <v>2.6095000000000002</v>
      </c>
      <c r="H160" s="12">
        <v>1.452</v>
      </c>
      <c r="I160" s="13">
        <v>2.6194999999999999</v>
      </c>
      <c r="J160" s="18">
        <f t="shared" si="5"/>
        <v>2.2351177730192719</v>
      </c>
      <c r="K160" s="18">
        <f t="shared" si="4"/>
        <v>6.3628917880489304</v>
      </c>
      <c r="L160" s="33">
        <v>400</v>
      </c>
      <c r="M160" s="1">
        <v>2</v>
      </c>
      <c r="N160" s="38">
        <v>45680</v>
      </c>
      <c r="O160" s="44">
        <v>2018</v>
      </c>
      <c r="P160" s="44">
        <v>5049</v>
      </c>
      <c r="Q160" s="65">
        <v>0.65600000000000003</v>
      </c>
      <c r="R160" s="69">
        <v>1015.1</v>
      </c>
      <c r="S160" s="74">
        <v>1510</v>
      </c>
      <c r="T160" s="49">
        <v>462500</v>
      </c>
      <c r="U160" s="56">
        <v>4.7300000000000004</v>
      </c>
      <c r="V160" s="56">
        <v>5.55</v>
      </c>
      <c r="W160" s="1">
        <v>3.5</v>
      </c>
      <c r="X160" s="28">
        <v>2.302</v>
      </c>
      <c r="Y160" s="60">
        <v>14.2</v>
      </c>
      <c r="Z160" s="1">
        <v>75</v>
      </c>
      <c r="AA160" s="60">
        <v>1.1000000000000001</v>
      </c>
      <c r="AB160" s="1">
        <v>88</v>
      </c>
      <c r="AC160" s="1">
        <v>58</v>
      </c>
      <c r="AD160" s="1">
        <v>39</v>
      </c>
      <c r="AE160" s="36">
        <v>5.3</v>
      </c>
    </row>
    <row r="161" spans="1:31" x14ac:dyDescent="0.2">
      <c r="A161" s="1">
        <v>16</v>
      </c>
      <c r="B161" s="1" t="s">
        <v>66</v>
      </c>
      <c r="C161" s="28">
        <v>2.387</v>
      </c>
      <c r="D161" s="1">
        <v>19</v>
      </c>
      <c r="E161" s="1">
        <v>2</v>
      </c>
      <c r="F161" s="1">
        <v>3</v>
      </c>
      <c r="G161" s="11">
        <v>2.6629999999999998</v>
      </c>
      <c r="H161" s="12">
        <v>1.4770000000000001</v>
      </c>
      <c r="I161" s="13">
        <v>2.6655000000000002</v>
      </c>
      <c r="J161" s="18">
        <f t="shared" si="5"/>
        <v>2.2406394615060998</v>
      </c>
      <c r="K161" s="18">
        <f t="shared" si="4"/>
        <v>6.1315684329241833</v>
      </c>
      <c r="L161" s="33"/>
      <c r="M161" s="1"/>
      <c r="N161" s="38"/>
      <c r="O161" s="44"/>
      <c r="P161" s="44"/>
      <c r="Q161" s="65"/>
      <c r="R161" s="69"/>
      <c r="S161" s="74"/>
      <c r="T161" s="49"/>
      <c r="U161" s="56">
        <v>4.7300000000000004</v>
      </c>
      <c r="V161" s="56">
        <v>5.55</v>
      </c>
      <c r="W161" s="1">
        <v>3.5</v>
      </c>
      <c r="X161" s="28">
        <v>2.302</v>
      </c>
      <c r="Y161" s="60">
        <v>14.2</v>
      </c>
      <c r="Z161" s="1">
        <v>75</v>
      </c>
      <c r="AA161" s="60">
        <v>1.1000000000000001</v>
      </c>
      <c r="AB161" s="1">
        <v>88</v>
      </c>
      <c r="AC161" s="1">
        <v>58</v>
      </c>
      <c r="AD161" s="1">
        <v>39</v>
      </c>
      <c r="AE161" s="36">
        <v>5.3</v>
      </c>
    </row>
    <row r="162" spans="1:31" ht="16" thickBot="1" x14ac:dyDescent="0.25">
      <c r="A162" s="1">
        <v>16</v>
      </c>
      <c r="B162" s="1" t="s">
        <v>66</v>
      </c>
      <c r="C162" s="29">
        <v>2.387</v>
      </c>
      <c r="D162" s="2">
        <v>19</v>
      </c>
      <c r="E162" s="2">
        <v>2</v>
      </c>
      <c r="F162" s="2">
        <v>4</v>
      </c>
      <c r="G162" s="16">
        <v>2.6480000000000001</v>
      </c>
      <c r="H162" s="10">
        <v>1.47</v>
      </c>
      <c r="I162" s="17">
        <v>2.6520000000000001</v>
      </c>
      <c r="J162" s="20">
        <f t="shared" si="5"/>
        <v>2.2402707275803722</v>
      </c>
      <c r="K162" s="20">
        <f t="shared" si="4"/>
        <v>6.1470160209312059</v>
      </c>
      <c r="L162" s="34"/>
      <c r="M162" s="2"/>
      <c r="N162" s="39"/>
      <c r="O162" s="46"/>
      <c r="P162" s="46"/>
      <c r="Q162" s="66"/>
      <c r="R162" s="70"/>
      <c r="S162" s="76"/>
      <c r="T162" s="50"/>
      <c r="U162" s="57">
        <v>4.7300000000000004</v>
      </c>
      <c r="V162" s="57">
        <v>5.55</v>
      </c>
      <c r="W162" s="2">
        <v>3.5</v>
      </c>
      <c r="X162" s="29">
        <v>2.302</v>
      </c>
      <c r="Y162" s="61">
        <v>14.2</v>
      </c>
      <c r="Z162" s="2">
        <v>75</v>
      </c>
      <c r="AA162" s="61">
        <v>1.1000000000000001</v>
      </c>
      <c r="AB162" s="2">
        <v>88</v>
      </c>
      <c r="AC162" s="2">
        <v>58</v>
      </c>
      <c r="AD162" s="2">
        <v>39</v>
      </c>
      <c r="AE162" s="4">
        <v>5.3</v>
      </c>
    </row>
    <row r="163" spans="1:31" x14ac:dyDescent="0.2">
      <c r="A163" s="1">
        <v>17</v>
      </c>
      <c r="B163" s="1" t="s">
        <v>67</v>
      </c>
      <c r="C163" s="28">
        <v>2.39</v>
      </c>
      <c r="D163" s="1">
        <v>19</v>
      </c>
      <c r="E163" s="26">
        <v>1</v>
      </c>
      <c r="F163" s="26">
        <v>0</v>
      </c>
      <c r="G163" s="21">
        <v>24.115500000000001</v>
      </c>
      <c r="H163" s="22">
        <v>13.432</v>
      </c>
      <c r="I163" s="23">
        <v>24.3355</v>
      </c>
      <c r="J163" s="24">
        <f t="shared" si="5"/>
        <v>2.211721007016096</v>
      </c>
      <c r="K163" s="24">
        <f t="shared" si="4"/>
        <v>7.4593720913767374</v>
      </c>
      <c r="L163" s="33">
        <v>0</v>
      </c>
      <c r="M163" s="1"/>
      <c r="N163" s="38"/>
      <c r="O163" s="44"/>
      <c r="P163" s="44"/>
      <c r="Q163" s="65"/>
      <c r="R163" s="69"/>
      <c r="S163" s="74"/>
      <c r="T163" s="49"/>
      <c r="U163" s="56">
        <v>4.7300000000000004</v>
      </c>
      <c r="V163" s="56">
        <v>5.67</v>
      </c>
      <c r="W163" s="1">
        <v>3.3</v>
      </c>
      <c r="X163" s="28">
        <v>2.31</v>
      </c>
      <c r="Y163" s="60">
        <v>14</v>
      </c>
      <c r="Z163" s="1">
        <v>76</v>
      </c>
      <c r="AA163" s="60">
        <v>1.1000000000000001</v>
      </c>
      <c r="AB163" s="1">
        <v>87</v>
      </c>
      <c r="AC163" s="1">
        <v>56</v>
      </c>
      <c r="AD163" s="1">
        <v>38</v>
      </c>
      <c r="AE163" s="36">
        <v>5.3</v>
      </c>
    </row>
    <row r="164" spans="1:31" x14ac:dyDescent="0.2">
      <c r="A164" s="1">
        <v>17</v>
      </c>
      <c r="B164" s="1" t="s">
        <v>67</v>
      </c>
      <c r="C164" s="28">
        <v>2.39</v>
      </c>
      <c r="D164" s="1">
        <v>19</v>
      </c>
      <c r="E164" s="1">
        <v>1</v>
      </c>
      <c r="F164" s="1">
        <v>1</v>
      </c>
      <c r="G164" s="11">
        <v>2.4727999999999999</v>
      </c>
      <c r="H164" s="12">
        <v>1.3745000000000001</v>
      </c>
      <c r="I164" s="13">
        <v>2.4792999999999998</v>
      </c>
      <c r="J164" s="18">
        <f t="shared" si="5"/>
        <v>2.2382331643736428</v>
      </c>
      <c r="K164" s="18">
        <f t="shared" si="4"/>
        <v>6.3500768044500999</v>
      </c>
      <c r="L164" s="33">
        <v>600</v>
      </c>
      <c r="M164" s="1">
        <v>1</v>
      </c>
      <c r="N164" s="38">
        <v>45681</v>
      </c>
      <c r="O164" s="44">
        <v>2922</v>
      </c>
      <c r="P164" s="44">
        <v>4875</v>
      </c>
      <c r="Q164" s="65">
        <v>1.726</v>
      </c>
      <c r="R164" s="69">
        <v>1375.9</v>
      </c>
      <c r="S164" s="74">
        <v>2759</v>
      </c>
      <c r="T164" s="49">
        <v>155470</v>
      </c>
      <c r="U164" s="56">
        <v>4.7300000000000004</v>
      </c>
      <c r="V164" s="56">
        <v>5.67</v>
      </c>
      <c r="W164" s="1">
        <v>3.3</v>
      </c>
      <c r="X164" s="28">
        <v>2.31</v>
      </c>
      <c r="Y164" s="60">
        <v>14</v>
      </c>
      <c r="Z164" s="1">
        <v>76</v>
      </c>
      <c r="AA164" s="60">
        <v>1.1000000000000001</v>
      </c>
      <c r="AB164" s="1">
        <v>87</v>
      </c>
      <c r="AC164" s="1">
        <v>56</v>
      </c>
      <c r="AD164" s="1">
        <v>38</v>
      </c>
      <c r="AE164" s="36">
        <v>5.3</v>
      </c>
    </row>
    <row r="165" spans="1:31" x14ac:dyDescent="0.2">
      <c r="A165" s="1">
        <v>17</v>
      </c>
      <c r="B165" s="1" t="s">
        <v>67</v>
      </c>
      <c r="C165" s="28">
        <v>2.39</v>
      </c>
      <c r="D165" s="1">
        <v>19</v>
      </c>
      <c r="E165" s="1">
        <v>1</v>
      </c>
      <c r="F165" s="1">
        <v>2</v>
      </c>
      <c r="G165" s="11">
        <v>2.4573</v>
      </c>
      <c r="H165" s="12">
        <v>1.3634999999999999</v>
      </c>
      <c r="I165" s="13">
        <v>2.4601999999999999</v>
      </c>
      <c r="J165" s="18">
        <f t="shared" si="5"/>
        <v>2.2406309838606728</v>
      </c>
      <c r="K165" s="18">
        <f t="shared" si="4"/>
        <v>6.2497496292605597</v>
      </c>
      <c r="L165" s="33">
        <v>600</v>
      </c>
      <c r="M165" s="1">
        <v>2</v>
      </c>
      <c r="N165" s="38">
        <v>45685</v>
      </c>
      <c r="O165" s="44">
        <v>2743</v>
      </c>
      <c r="P165" s="44">
        <v>4565</v>
      </c>
      <c r="Q165" s="65">
        <v>1.8220000000000001</v>
      </c>
      <c r="R165" s="69">
        <v>1296.4000000000001</v>
      </c>
      <c r="S165" s="74">
        <v>2480</v>
      </c>
      <c r="T165" s="49">
        <v>87720</v>
      </c>
      <c r="U165" s="56">
        <v>4.7300000000000004</v>
      </c>
      <c r="V165" s="56">
        <v>5.67</v>
      </c>
      <c r="W165" s="1">
        <v>3.3</v>
      </c>
      <c r="X165" s="28">
        <v>2.31</v>
      </c>
      <c r="Y165" s="60">
        <v>14</v>
      </c>
      <c r="Z165" s="1">
        <v>76</v>
      </c>
      <c r="AA165" s="60">
        <v>1.1000000000000001</v>
      </c>
      <c r="AB165" s="1">
        <v>87</v>
      </c>
      <c r="AC165" s="1">
        <v>56</v>
      </c>
      <c r="AD165" s="1">
        <v>38</v>
      </c>
      <c r="AE165" s="36">
        <v>5.3</v>
      </c>
    </row>
    <row r="166" spans="1:31" x14ac:dyDescent="0.2">
      <c r="A166" s="1">
        <v>17</v>
      </c>
      <c r="B166" s="1" t="s">
        <v>67</v>
      </c>
      <c r="C166" s="28">
        <v>2.39</v>
      </c>
      <c r="D166" s="1">
        <v>19</v>
      </c>
      <c r="E166" s="1">
        <v>1</v>
      </c>
      <c r="F166" s="1">
        <v>3</v>
      </c>
      <c r="G166" s="11">
        <v>2.4699</v>
      </c>
      <c r="H166" s="12">
        <v>1.3782000000000001</v>
      </c>
      <c r="I166" s="13">
        <v>2.4784999999999999</v>
      </c>
      <c r="J166" s="18">
        <f t="shared" si="5"/>
        <v>2.2447514314277925</v>
      </c>
      <c r="K166" s="18">
        <f t="shared" si="4"/>
        <v>6.0773459653643336</v>
      </c>
      <c r="L166" s="33">
        <v>600</v>
      </c>
      <c r="M166" s="1">
        <v>3</v>
      </c>
      <c r="N166" s="38">
        <v>45685</v>
      </c>
      <c r="O166" s="44">
        <v>3235</v>
      </c>
      <c r="P166" s="44">
        <v>5383</v>
      </c>
      <c r="Q166" s="65">
        <v>1.758</v>
      </c>
      <c r="R166" s="69">
        <v>1579.2</v>
      </c>
      <c r="S166" s="74">
        <v>2454</v>
      </c>
      <c r="T166" s="49">
        <v>86450</v>
      </c>
      <c r="U166" s="56">
        <v>4.7300000000000004</v>
      </c>
      <c r="V166" s="56">
        <v>5.67</v>
      </c>
      <c r="W166" s="1">
        <v>3.3</v>
      </c>
      <c r="X166" s="28">
        <v>2.31</v>
      </c>
      <c r="Y166" s="60">
        <v>14</v>
      </c>
      <c r="Z166" s="1">
        <v>76</v>
      </c>
      <c r="AA166" s="60">
        <v>1.1000000000000001</v>
      </c>
      <c r="AB166" s="1">
        <v>87</v>
      </c>
      <c r="AC166" s="1">
        <v>56</v>
      </c>
      <c r="AD166" s="1">
        <v>38</v>
      </c>
      <c r="AE166" s="36">
        <v>5.3</v>
      </c>
    </row>
    <row r="167" spans="1:31" x14ac:dyDescent="0.2">
      <c r="A167" s="1">
        <v>17</v>
      </c>
      <c r="B167" s="1" t="s">
        <v>67</v>
      </c>
      <c r="C167" s="28">
        <v>2.39</v>
      </c>
      <c r="D167" s="1">
        <v>19</v>
      </c>
      <c r="E167" s="5">
        <v>1</v>
      </c>
      <c r="F167" s="5">
        <v>4</v>
      </c>
      <c r="G167" s="14">
        <v>2.4424999999999999</v>
      </c>
      <c r="H167" s="9">
        <v>1.3534999999999999</v>
      </c>
      <c r="I167" s="15">
        <v>2.4455</v>
      </c>
      <c r="J167" s="19">
        <f t="shared" si="5"/>
        <v>2.2367216117216113</v>
      </c>
      <c r="K167" s="19">
        <f t="shared" si="4"/>
        <v>6.4133216852882313</v>
      </c>
      <c r="L167" s="41">
        <v>400</v>
      </c>
      <c r="M167" s="5">
        <v>4</v>
      </c>
      <c r="N167" s="42">
        <v>45685</v>
      </c>
      <c r="O167" s="47">
        <v>2127</v>
      </c>
      <c r="P167" s="47">
        <v>5318</v>
      </c>
      <c r="Q167" s="67">
        <v>0.79</v>
      </c>
      <c r="R167" s="71">
        <v>1005.9</v>
      </c>
      <c r="S167" s="75">
        <v>2296</v>
      </c>
      <c r="T167" s="51">
        <v>600000</v>
      </c>
      <c r="U167" s="58">
        <v>4.7300000000000004</v>
      </c>
      <c r="V167" s="58">
        <v>5.67</v>
      </c>
      <c r="W167" s="5">
        <v>3.3</v>
      </c>
      <c r="X167" s="53">
        <v>2.31</v>
      </c>
      <c r="Y167" s="62">
        <v>14</v>
      </c>
      <c r="Z167" s="5">
        <v>76</v>
      </c>
      <c r="AA167" s="62">
        <v>1.1000000000000001</v>
      </c>
      <c r="AB167" s="5">
        <v>87</v>
      </c>
      <c r="AC167" s="5">
        <v>56</v>
      </c>
      <c r="AD167" s="5">
        <v>38</v>
      </c>
      <c r="AE167" s="43">
        <v>5.3</v>
      </c>
    </row>
    <row r="168" spans="1:31" x14ac:dyDescent="0.2">
      <c r="A168" s="1">
        <v>17</v>
      </c>
      <c r="B168" s="1" t="s">
        <v>68</v>
      </c>
      <c r="C168" s="28">
        <v>2.39</v>
      </c>
      <c r="D168" s="1">
        <v>19</v>
      </c>
      <c r="E168" s="26">
        <v>2</v>
      </c>
      <c r="F168" s="26">
        <v>0</v>
      </c>
      <c r="G168" s="21">
        <v>23.998000000000001</v>
      </c>
      <c r="H168" s="22">
        <v>13.372</v>
      </c>
      <c r="I168" s="23">
        <v>24.271999999999998</v>
      </c>
      <c r="J168" s="24">
        <f t="shared" si="5"/>
        <v>2.2016513761467893</v>
      </c>
      <c r="K168" s="24">
        <f t="shared" si="4"/>
        <v>7.8806955587117482</v>
      </c>
      <c r="L168" s="33">
        <v>0</v>
      </c>
      <c r="M168" s="1"/>
      <c r="N168" s="38"/>
      <c r="O168" s="44"/>
      <c r="P168" s="44"/>
      <c r="Q168" s="65"/>
      <c r="R168" s="69"/>
      <c r="S168" s="74"/>
      <c r="T168" s="49"/>
      <c r="U168" s="56">
        <v>4.7300000000000004</v>
      </c>
      <c r="V168" s="56">
        <v>5.67</v>
      </c>
      <c r="W168" s="1">
        <v>3.3</v>
      </c>
      <c r="X168" s="28">
        <v>2.31</v>
      </c>
      <c r="Y168" s="60">
        <v>14</v>
      </c>
      <c r="Z168" s="1">
        <v>76</v>
      </c>
      <c r="AA168" s="60">
        <v>1.1000000000000001</v>
      </c>
      <c r="AB168" s="1">
        <v>87</v>
      </c>
      <c r="AC168" s="1">
        <v>56</v>
      </c>
      <c r="AD168" s="1">
        <v>38</v>
      </c>
      <c r="AE168" s="36">
        <v>5.3</v>
      </c>
    </row>
    <row r="169" spans="1:31" x14ac:dyDescent="0.2">
      <c r="A169" s="1">
        <v>17</v>
      </c>
      <c r="B169" s="1" t="s">
        <v>68</v>
      </c>
      <c r="C169" s="28">
        <v>2.39</v>
      </c>
      <c r="D169" s="1">
        <v>19</v>
      </c>
      <c r="E169" s="1">
        <v>2</v>
      </c>
      <c r="F169" s="1">
        <v>1</v>
      </c>
      <c r="G169" s="11">
        <v>2.4752000000000001</v>
      </c>
      <c r="H169" s="12">
        <v>1.3762000000000001</v>
      </c>
      <c r="I169" s="13">
        <v>2.4792000000000001</v>
      </c>
      <c r="J169" s="18">
        <f t="shared" si="5"/>
        <v>2.2440616500453312</v>
      </c>
      <c r="K169" s="18">
        <f t="shared" si="4"/>
        <v>6.1062071110740135</v>
      </c>
      <c r="L169" s="33">
        <v>400</v>
      </c>
      <c r="M169" s="1">
        <v>1</v>
      </c>
      <c r="N169" s="38">
        <v>45683</v>
      </c>
      <c r="O169" s="44">
        <v>2247</v>
      </c>
      <c r="P169" s="44">
        <v>5621</v>
      </c>
      <c r="Q169" s="65">
        <v>0.67700000000000005</v>
      </c>
      <c r="R169" s="69">
        <v>1093.3</v>
      </c>
      <c r="S169" s="74">
        <v>1685</v>
      </c>
      <c r="T169" s="49">
        <v>400000</v>
      </c>
      <c r="U169" s="56">
        <v>4.7300000000000004</v>
      </c>
      <c r="V169" s="56">
        <v>5.67</v>
      </c>
      <c r="W169" s="1">
        <v>3.3</v>
      </c>
      <c r="X169" s="28">
        <v>2.31</v>
      </c>
      <c r="Y169" s="60">
        <v>14</v>
      </c>
      <c r="Z169" s="1">
        <v>76</v>
      </c>
      <c r="AA169" s="60">
        <v>1.1000000000000001</v>
      </c>
      <c r="AB169" s="1">
        <v>87</v>
      </c>
      <c r="AC169" s="1">
        <v>56</v>
      </c>
      <c r="AD169" s="1">
        <v>38</v>
      </c>
      <c r="AE169" s="36">
        <v>5.3</v>
      </c>
    </row>
    <row r="170" spans="1:31" x14ac:dyDescent="0.2">
      <c r="A170" s="1">
        <v>17</v>
      </c>
      <c r="B170" s="1" t="s">
        <v>68</v>
      </c>
      <c r="C170" s="28">
        <v>2.39</v>
      </c>
      <c r="D170" s="1">
        <v>19</v>
      </c>
      <c r="E170" s="1">
        <v>2</v>
      </c>
      <c r="F170" s="1">
        <v>2</v>
      </c>
      <c r="G170" s="11">
        <v>2.4632000000000001</v>
      </c>
      <c r="H170" s="12">
        <v>1.3717999999999999</v>
      </c>
      <c r="I170" s="13">
        <v>2.4695</v>
      </c>
      <c r="J170" s="18">
        <f t="shared" si="5"/>
        <v>2.2439646533661288</v>
      </c>
      <c r="K170" s="18">
        <f t="shared" si="4"/>
        <v>6.1102655495343665</v>
      </c>
      <c r="L170" s="33">
        <v>400</v>
      </c>
      <c r="M170" s="1">
        <v>2</v>
      </c>
      <c r="N170" s="38">
        <v>45687</v>
      </c>
      <c r="O170" s="44">
        <v>1993</v>
      </c>
      <c r="P170" s="44">
        <v>4975</v>
      </c>
      <c r="Q170" s="65">
        <v>0.623</v>
      </c>
      <c r="R170" s="69">
        <v>1018.2</v>
      </c>
      <c r="S170" s="74">
        <v>2643</v>
      </c>
      <c r="T170" s="49">
        <v>833540</v>
      </c>
      <c r="U170" s="56">
        <v>4.7300000000000004</v>
      </c>
      <c r="V170" s="56">
        <v>5.67</v>
      </c>
      <c r="W170" s="1">
        <v>3.3</v>
      </c>
      <c r="X170" s="28">
        <v>2.31</v>
      </c>
      <c r="Y170" s="60">
        <v>14</v>
      </c>
      <c r="Z170" s="1">
        <v>76</v>
      </c>
      <c r="AA170" s="60">
        <v>1.1000000000000001</v>
      </c>
      <c r="AB170" s="1">
        <v>87</v>
      </c>
      <c r="AC170" s="1">
        <v>56</v>
      </c>
      <c r="AD170" s="1">
        <v>38</v>
      </c>
      <c r="AE170" s="36">
        <v>5.3</v>
      </c>
    </row>
    <row r="171" spans="1:31" x14ac:dyDescent="0.2">
      <c r="A171" s="1">
        <v>17</v>
      </c>
      <c r="B171" s="1" t="s">
        <v>68</v>
      </c>
      <c r="C171" s="28">
        <v>2.39</v>
      </c>
      <c r="D171" s="1">
        <v>19</v>
      </c>
      <c r="E171" s="1">
        <v>2</v>
      </c>
      <c r="F171" s="1">
        <v>3</v>
      </c>
      <c r="G171" s="11">
        <v>2.4775</v>
      </c>
      <c r="H171" s="12">
        <v>1.37</v>
      </c>
      <c r="I171" s="13">
        <v>2.4796</v>
      </c>
      <c r="J171" s="18">
        <f t="shared" si="5"/>
        <v>2.2327865897620764</v>
      </c>
      <c r="K171" s="18">
        <f t="shared" si="4"/>
        <v>6.5779669555616653</v>
      </c>
      <c r="L171" s="33"/>
      <c r="M171" s="1"/>
      <c r="N171" s="38"/>
      <c r="O171" s="44"/>
      <c r="P171" s="44"/>
      <c r="Q171" s="65"/>
      <c r="R171" s="69"/>
      <c r="S171" s="74"/>
      <c r="T171" s="49"/>
      <c r="U171" s="56">
        <v>4.7300000000000004</v>
      </c>
      <c r="V171" s="56">
        <v>5.67</v>
      </c>
      <c r="W171" s="1">
        <v>3.3</v>
      </c>
      <c r="X171" s="28">
        <v>2.31</v>
      </c>
      <c r="Y171" s="60">
        <v>14</v>
      </c>
      <c r="Z171" s="1">
        <v>76</v>
      </c>
      <c r="AA171" s="60">
        <v>1.1000000000000001</v>
      </c>
      <c r="AB171" s="1">
        <v>87</v>
      </c>
      <c r="AC171" s="1">
        <v>56</v>
      </c>
      <c r="AD171" s="1">
        <v>38</v>
      </c>
      <c r="AE171" s="36">
        <v>5.3</v>
      </c>
    </row>
    <row r="172" spans="1:31" ht="16" thickBot="1" x14ac:dyDescent="0.25">
      <c r="A172" s="1">
        <v>17</v>
      </c>
      <c r="B172" s="1" t="s">
        <v>68</v>
      </c>
      <c r="C172" s="29">
        <v>2.39</v>
      </c>
      <c r="D172" s="2">
        <v>19</v>
      </c>
      <c r="E172" s="2">
        <v>2</v>
      </c>
      <c r="F172" s="2">
        <v>4</v>
      </c>
      <c r="G172" s="16">
        <v>2.4639000000000002</v>
      </c>
      <c r="H172" s="10">
        <v>1.3702000000000001</v>
      </c>
      <c r="I172" s="17">
        <v>2.4685000000000001</v>
      </c>
      <c r="J172" s="20">
        <f t="shared" si="5"/>
        <v>2.2433761267413277</v>
      </c>
      <c r="K172" s="20">
        <f t="shared" si="4"/>
        <v>6.1348900945051188</v>
      </c>
      <c r="L172" s="34"/>
      <c r="M172" s="2"/>
      <c r="N172" s="39"/>
      <c r="O172" s="46"/>
      <c r="P172" s="46"/>
      <c r="Q172" s="66"/>
      <c r="R172" s="70"/>
      <c r="S172" s="76"/>
      <c r="T172" s="50"/>
      <c r="U172" s="57">
        <v>4.7300000000000004</v>
      </c>
      <c r="V172" s="57">
        <v>5.67</v>
      </c>
      <c r="W172" s="2">
        <v>3.3</v>
      </c>
      <c r="X172" s="29">
        <v>2.31</v>
      </c>
      <c r="Y172" s="61">
        <v>14</v>
      </c>
      <c r="Z172" s="2">
        <v>76</v>
      </c>
      <c r="AA172" s="61">
        <v>1.1000000000000001</v>
      </c>
      <c r="AB172" s="2">
        <v>87</v>
      </c>
      <c r="AC172" s="2">
        <v>56</v>
      </c>
      <c r="AD172" s="2">
        <v>38</v>
      </c>
      <c r="AE172" s="4">
        <v>5.3</v>
      </c>
    </row>
    <row r="173" spans="1:31" x14ac:dyDescent="0.2">
      <c r="A173" s="1">
        <v>18</v>
      </c>
      <c r="B173" s="1" t="s">
        <v>69</v>
      </c>
      <c r="C173" s="28">
        <v>2.3929999999999998</v>
      </c>
      <c r="D173" s="1">
        <v>19</v>
      </c>
      <c r="E173" s="26">
        <v>1</v>
      </c>
      <c r="F173" s="26">
        <v>0</v>
      </c>
      <c r="G173" s="21">
        <v>24.0715</v>
      </c>
      <c r="H173" s="22">
        <v>13.452</v>
      </c>
      <c r="I173" s="23">
        <v>24.338999999999999</v>
      </c>
      <c r="J173" s="24">
        <f t="shared" si="5"/>
        <v>2.2110315054652339</v>
      </c>
      <c r="K173" s="24">
        <f t="shared" si="4"/>
        <v>7.6041995208844915</v>
      </c>
      <c r="L173" s="33">
        <v>0</v>
      </c>
      <c r="M173" s="1"/>
      <c r="N173" s="38"/>
      <c r="O173" s="44"/>
      <c r="P173" s="44"/>
      <c r="Q173" s="65"/>
      <c r="R173" s="69"/>
      <c r="S173" s="74"/>
      <c r="T173" s="49"/>
      <c r="U173" s="56">
        <v>4.62</v>
      </c>
      <c r="V173" s="56">
        <v>5.5</v>
      </c>
      <c r="W173" s="1">
        <v>3.4</v>
      </c>
      <c r="X173" s="28">
        <v>2.3109999999999999</v>
      </c>
      <c r="Y173" s="60">
        <v>13.9</v>
      </c>
      <c r="Z173" s="1">
        <v>75</v>
      </c>
      <c r="AA173" s="60">
        <v>1.1000000000000001</v>
      </c>
      <c r="AB173" s="1">
        <v>85</v>
      </c>
      <c r="AC173" s="1">
        <v>50</v>
      </c>
      <c r="AD173" s="1">
        <v>34</v>
      </c>
      <c r="AE173" s="36">
        <v>5</v>
      </c>
    </row>
    <row r="174" spans="1:31" x14ac:dyDescent="0.2">
      <c r="A174" s="1">
        <v>18</v>
      </c>
      <c r="B174" s="1" t="s">
        <v>69</v>
      </c>
      <c r="C174" s="28">
        <v>2.3929999999999998</v>
      </c>
      <c r="D174" s="1">
        <v>19</v>
      </c>
      <c r="E174" s="1">
        <v>1</v>
      </c>
      <c r="F174" s="1">
        <v>1</v>
      </c>
      <c r="G174" s="11">
        <v>2.641</v>
      </c>
      <c r="H174" s="12">
        <v>1.4830000000000001</v>
      </c>
      <c r="I174" s="13">
        <v>2.6665000000000001</v>
      </c>
      <c r="J174" s="18">
        <f t="shared" si="5"/>
        <v>2.2315166877904522</v>
      </c>
      <c r="K174" s="18">
        <f t="shared" si="4"/>
        <v>6.748153456312056</v>
      </c>
      <c r="L174" s="33">
        <v>600</v>
      </c>
      <c r="M174" s="1">
        <v>1</v>
      </c>
      <c r="N174" s="38">
        <v>45688</v>
      </c>
      <c r="O174" s="44">
        <v>3352</v>
      </c>
      <c r="P174" s="44">
        <v>5608</v>
      </c>
      <c r="Q174" s="65">
        <v>1.9219999999999999</v>
      </c>
      <c r="R174" s="69">
        <v>1601.6</v>
      </c>
      <c r="S174" s="74">
        <v>1674</v>
      </c>
      <c r="T174" s="49">
        <v>25000</v>
      </c>
      <c r="U174" s="56">
        <v>4.62</v>
      </c>
      <c r="V174" s="56">
        <v>5.5</v>
      </c>
      <c r="W174" s="1">
        <v>3.4</v>
      </c>
      <c r="X174" s="28">
        <v>2.3109999999999999</v>
      </c>
      <c r="Y174" s="60">
        <v>13.9</v>
      </c>
      <c r="Z174" s="1">
        <v>75</v>
      </c>
      <c r="AA174" s="60">
        <v>1.1000000000000001</v>
      </c>
      <c r="AB174" s="1">
        <v>85</v>
      </c>
      <c r="AC174" s="1">
        <v>50</v>
      </c>
      <c r="AD174" s="1">
        <v>34</v>
      </c>
      <c r="AE174" s="36">
        <v>5</v>
      </c>
    </row>
    <row r="175" spans="1:31" x14ac:dyDescent="0.2">
      <c r="A175" s="1">
        <v>18</v>
      </c>
      <c r="B175" s="1" t="s">
        <v>69</v>
      </c>
      <c r="C175" s="28">
        <v>2.3929999999999998</v>
      </c>
      <c r="D175" s="1">
        <v>19</v>
      </c>
      <c r="E175" s="7">
        <v>1</v>
      </c>
      <c r="F175" s="7">
        <v>2</v>
      </c>
      <c r="G175" s="11">
        <v>2.6764999999999999</v>
      </c>
      <c r="H175" s="12">
        <v>1.5044999999999999</v>
      </c>
      <c r="I175" s="13">
        <v>2.6920000000000002</v>
      </c>
      <c r="J175" s="18">
        <f t="shared" si="5"/>
        <v>2.253894736842105</v>
      </c>
      <c r="K175" s="18">
        <f t="shared" si="4"/>
        <v>5.8130072360173308</v>
      </c>
      <c r="L175" s="33">
        <v>600</v>
      </c>
      <c r="M175" s="1">
        <v>2</v>
      </c>
      <c r="N175" s="38">
        <v>45688</v>
      </c>
      <c r="O175" s="44">
        <v>3165</v>
      </c>
      <c r="P175" s="44">
        <v>5268</v>
      </c>
      <c r="Q175" s="65">
        <v>1.881</v>
      </c>
      <c r="R175" s="69">
        <v>1469</v>
      </c>
      <c r="S175" s="74">
        <v>1566</v>
      </c>
      <c r="T175" s="49">
        <v>145000</v>
      </c>
      <c r="U175" s="56">
        <v>4.62</v>
      </c>
      <c r="V175" s="56">
        <v>5.5</v>
      </c>
      <c r="W175" s="1">
        <v>3.4</v>
      </c>
      <c r="X175" s="28">
        <v>2.3109999999999999</v>
      </c>
      <c r="Y175" s="60">
        <v>13.9</v>
      </c>
      <c r="Z175" s="1">
        <v>75</v>
      </c>
      <c r="AA175" s="60">
        <v>1.1000000000000001</v>
      </c>
      <c r="AB175" s="1">
        <v>85</v>
      </c>
      <c r="AC175" s="1">
        <v>50</v>
      </c>
      <c r="AD175" s="1">
        <v>34</v>
      </c>
      <c r="AE175" s="36">
        <v>5</v>
      </c>
    </row>
    <row r="176" spans="1:31" x14ac:dyDescent="0.2">
      <c r="A176" s="1">
        <v>18</v>
      </c>
      <c r="B176" s="1" t="s">
        <v>69</v>
      </c>
      <c r="C176" s="28">
        <v>2.3929999999999998</v>
      </c>
      <c r="D176" s="1">
        <v>19</v>
      </c>
      <c r="E176" s="1">
        <v>1</v>
      </c>
      <c r="F176" s="1">
        <v>3</v>
      </c>
      <c r="G176" s="11">
        <v>2.6840000000000002</v>
      </c>
      <c r="H176" s="12">
        <v>1.5029999999999999</v>
      </c>
      <c r="I176" s="13">
        <v>2.7054999999999998</v>
      </c>
      <c r="J176" s="18">
        <f t="shared" si="5"/>
        <v>2.2320166320166321</v>
      </c>
      <c r="K176" s="18">
        <f t="shared" si="4"/>
        <v>6.7272615120504646</v>
      </c>
      <c r="L176" s="33">
        <v>400</v>
      </c>
      <c r="M176" s="1">
        <v>3</v>
      </c>
      <c r="N176" s="38">
        <v>45688</v>
      </c>
      <c r="O176" s="44">
        <v>2414</v>
      </c>
      <c r="P176" s="44">
        <v>6046</v>
      </c>
      <c r="Q176" s="65">
        <v>0.77900000000000003</v>
      </c>
      <c r="R176" s="69">
        <v>1162.5999999999999</v>
      </c>
      <c r="S176" s="74">
        <v>1813</v>
      </c>
      <c r="T176" s="49">
        <v>1250000</v>
      </c>
      <c r="U176" s="56">
        <v>4.62</v>
      </c>
      <c r="V176" s="56">
        <v>5.5</v>
      </c>
      <c r="W176" s="1">
        <v>3.4</v>
      </c>
      <c r="X176" s="28">
        <v>2.3109999999999999</v>
      </c>
      <c r="Y176" s="60">
        <v>13.9</v>
      </c>
      <c r="Z176" s="1">
        <v>75</v>
      </c>
      <c r="AA176" s="60">
        <v>1.1000000000000001</v>
      </c>
      <c r="AB176" s="1">
        <v>85</v>
      </c>
      <c r="AC176" s="1">
        <v>50</v>
      </c>
      <c r="AD176" s="1">
        <v>34</v>
      </c>
      <c r="AE176" s="36">
        <v>5</v>
      </c>
    </row>
    <row r="177" spans="1:31" x14ac:dyDescent="0.2">
      <c r="A177" s="1">
        <v>18</v>
      </c>
      <c r="B177" s="1" t="s">
        <v>69</v>
      </c>
      <c r="C177" s="28">
        <v>2.3929999999999998</v>
      </c>
      <c r="D177" s="1">
        <v>19</v>
      </c>
      <c r="E177" s="5">
        <v>1</v>
      </c>
      <c r="F177" s="5">
        <v>4</v>
      </c>
      <c r="G177" s="14">
        <v>2.5485000000000002</v>
      </c>
      <c r="H177" s="9">
        <v>1.4225000000000001</v>
      </c>
      <c r="I177" s="15">
        <v>2.5575000000000001</v>
      </c>
      <c r="J177" s="19">
        <f t="shared" si="5"/>
        <v>2.2453744493392072</v>
      </c>
      <c r="K177" s="19">
        <f t="shared" si="4"/>
        <v>6.1690576958124854</v>
      </c>
      <c r="L177" s="41"/>
      <c r="M177" s="5"/>
      <c r="N177" s="42"/>
      <c r="O177" s="47"/>
      <c r="P177" s="47"/>
      <c r="Q177" s="67"/>
      <c r="R177" s="71"/>
      <c r="S177" s="75"/>
      <c r="T177" s="51"/>
      <c r="U177" s="58">
        <v>4.62</v>
      </c>
      <c r="V177" s="58">
        <v>5.5</v>
      </c>
      <c r="W177" s="5">
        <v>3.4</v>
      </c>
      <c r="X177" s="53">
        <v>2.3109999999999999</v>
      </c>
      <c r="Y177" s="62">
        <v>13.9</v>
      </c>
      <c r="Z177" s="5">
        <v>75</v>
      </c>
      <c r="AA177" s="62">
        <v>1.1000000000000001</v>
      </c>
      <c r="AB177" s="5">
        <v>85</v>
      </c>
      <c r="AC177" s="5">
        <v>50</v>
      </c>
      <c r="AD177" s="5">
        <v>34</v>
      </c>
      <c r="AE177" s="43">
        <v>5</v>
      </c>
    </row>
    <row r="178" spans="1:31" x14ac:dyDescent="0.2">
      <c r="A178" s="1">
        <v>18</v>
      </c>
      <c r="B178" s="1" t="s">
        <v>70</v>
      </c>
      <c r="C178" s="28">
        <v>2.3929999999999998</v>
      </c>
      <c r="D178" s="1">
        <v>19</v>
      </c>
      <c r="E178" s="26">
        <v>2</v>
      </c>
      <c r="F178" s="26">
        <v>0</v>
      </c>
      <c r="G178" s="21">
        <v>24.022500000000001</v>
      </c>
      <c r="H178" s="22">
        <v>13.432499999999999</v>
      </c>
      <c r="I178" s="23">
        <v>24.312000000000001</v>
      </c>
      <c r="J178" s="24">
        <f t="shared" si="5"/>
        <v>2.2080518406176752</v>
      </c>
      <c r="K178" s="24">
        <f t="shared" si="4"/>
        <v>7.7287153941631654</v>
      </c>
      <c r="L178" s="33">
        <v>0</v>
      </c>
      <c r="M178" s="1"/>
      <c r="N178" s="38"/>
      <c r="O178" s="44"/>
      <c r="P178" s="44"/>
      <c r="Q178" s="65"/>
      <c r="R178" s="69"/>
      <c r="S178" s="74"/>
      <c r="T178" s="49"/>
      <c r="U178" s="56">
        <v>4.62</v>
      </c>
      <c r="V178" s="56">
        <v>5.5</v>
      </c>
      <c r="W178" s="1">
        <v>3.4</v>
      </c>
      <c r="X178" s="28">
        <v>2.3109999999999999</v>
      </c>
      <c r="Y178" s="60">
        <v>13.9</v>
      </c>
      <c r="Z178" s="1">
        <v>75</v>
      </c>
      <c r="AA178" s="60">
        <v>1.1000000000000001</v>
      </c>
      <c r="AB178" s="1">
        <v>85</v>
      </c>
      <c r="AC178" s="1">
        <v>50</v>
      </c>
      <c r="AD178" s="1">
        <v>34</v>
      </c>
      <c r="AE178" s="36">
        <v>5</v>
      </c>
    </row>
    <row r="179" spans="1:31" x14ac:dyDescent="0.2">
      <c r="A179" s="1">
        <v>18</v>
      </c>
      <c r="B179" s="1" t="s">
        <v>70</v>
      </c>
      <c r="C179" s="28">
        <v>2.3929999999999998</v>
      </c>
      <c r="D179" s="1">
        <v>19</v>
      </c>
      <c r="E179" s="1">
        <v>2</v>
      </c>
      <c r="F179" s="1">
        <v>1</v>
      </c>
      <c r="G179" s="11">
        <v>2.6265000000000001</v>
      </c>
      <c r="H179" s="12">
        <v>1.46</v>
      </c>
      <c r="I179" s="13">
        <v>2.633</v>
      </c>
      <c r="J179" s="18">
        <f t="shared" si="5"/>
        <v>2.2391304347826089</v>
      </c>
      <c r="K179" s="18">
        <f t="shared" si="4"/>
        <v>6.4299860099202188</v>
      </c>
      <c r="L179" s="33">
        <v>600</v>
      </c>
      <c r="M179" s="1">
        <v>1</v>
      </c>
      <c r="N179" s="38">
        <v>45690</v>
      </c>
      <c r="O179" s="44">
        <v>3498</v>
      </c>
      <c r="P179" s="44">
        <v>5800</v>
      </c>
      <c r="Q179" s="65">
        <v>1.8109999999999999</v>
      </c>
      <c r="R179" s="69">
        <v>1648.8</v>
      </c>
      <c r="S179" s="74">
        <v>2653</v>
      </c>
      <c r="T179" s="49">
        <v>83080</v>
      </c>
      <c r="U179" s="56">
        <v>4.62</v>
      </c>
      <c r="V179" s="56">
        <v>5.5</v>
      </c>
      <c r="W179" s="1">
        <v>3.4</v>
      </c>
      <c r="X179" s="28">
        <v>2.3109999999999999</v>
      </c>
      <c r="Y179" s="60">
        <v>13.9</v>
      </c>
      <c r="Z179" s="1">
        <v>75</v>
      </c>
      <c r="AA179" s="60">
        <v>1.1000000000000001</v>
      </c>
      <c r="AB179" s="1">
        <v>85</v>
      </c>
      <c r="AC179" s="1">
        <v>50</v>
      </c>
      <c r="AD179" s="1">
        <v>34</v>
      </c>
      <c r="AE179" s="36">
        <v>5</v>
      </c>
    </row>
    <row r="180" spans="1:31" x14ac:dyDescent="0.2">
      <c r="A180" s="1">
        <v>18</v>
      </c>
      <c r="B180" s="1" t="s">
        <v>70</v>
      </c>
      <c r="C180" s="28">
        <v>2.3929999999999998</v>
      </c>
      <c r="D180" s="1">
        <v>19</v>
      </c>
      <c r="E180" s="1">
        <v>2</v>
      </c>
      <c r="F180" s="1">
        <v>2</v>
      </c>
      <c r="G180" s="11">
        <v>2.6749999999999998</v>
      </c>
      <c r="H180" s="12">
        <v>1.5035000000000001</v>
      </c>
      <c r="I180" s="13">
        <v>2.6949999999999998</v>
      </c>
      <c r="J180" s="18">
        <f t="shared" si="5"/>
        <v>2.2450692404532107</v>
      </c>
      <c r="K180" s="18">
        <f t="shared" si="4"/>
        <v>6.1818119325862568</v>
      </c>
      <c r="L180" s="33">
        <v>400</v>
      </c>
      <c r="M180" s="1">
        <v>2</v>
      </c>
      <c r="N180" s="38">
        <v>45690</v>
      </c>
      <c r="O180" s="44">
        <v>2345</v>
      </c>
      <c r="P180" s="44">
        <v>5883</v>
      </c>
      <c r="Q180" s="65">
        <v>0.73399999999999999</v>
      </c>
      <c r="R180" s="69">
        <v>1143.4000000000001</v>
      </c>
      <c r="S180" s="74">
        <v>1763</v>
      </c>
      <c r="T180" s="49">
        <v>300000</v>
      </c>
      <c r="U180" s="56">
        <v>4.62</v>
      </c>
      <c r="V180" s="56">
        <v>5.5</v>
      </c>
      <c r="W180" s="1">
        <v>3.4</v>
      </c>
      <c r="X180" s="28">
        <v>2.3109999999999999</v>
      </c>
      <c r="Y180" s="60">
        <v>13.9</v>
      </c>
      <c r="Z180" s="1">
        <v>75</v>
      </c>
      <c r="AA180" s="60">
        <v>1.1000000000000001</v>
      </c>
      <c r="AB180" s="1">
        <v>85</v>
      </c>
      <c r="AC180" s="1">
        <v>50</v>
      </c>
      <c r="AD180" s="1">
        <v>34</v>
      </c>
      <c r="AE180" s="36">
        <v>5</v>
      </c>
    </row>
    <row r="181" spans="1:31" x14ac:dyDescent="0.2">
      <c r="A181" s="1">
        <v>18</v>
      </c>
      <c r="B181" s="1" t="s">
        <v>70</v>
      </c>
      <c r="C181" s="28">
        <v>2.3929999999999998</v>
      </c>
      <c r="D181" s="1">
        <v>19</v>
      </c>
      <c r="E181" s="7">
        <v>2</v>
      </c>
      <c r="F181" s="7">
        <v>3</v>
      </c>
      <c r="G181" s="11">
        <v>2.6484999999999999</v>
      </c>
      <c r="H181" s="12">
        <v>1.488</v>
      </c>
      <c r="I181" s="13">
        <v>2.6575000000000002</v>
      </c>
      <c r="J181" s="18">
        <f t="shared" si="5"/>
        <v>2.2646430098332617</v>
      </c>
      <c r="K181" s="18">
        <f t="shared" si="4"/>
        <v>5.3638524933864673</v>
      </c>
      <c r="L181" s="33">
        <v>400</v>
      </c>
      <c r="M181" s="1">
        <v>3</v>
      </c>
      <c r="N181" s="38">
        <v>45690</v>
      </c>
      <c r="O181" s="44">
        <v>2136</v>
      </c>
      <c r="P181" s="44">
        <v>5341</v>
      </c>
      <c r="Q181" s="65">
        <v>0.92200000000000004</v>
      </c>
      <c r="R181" s="69">
        <v>1063.4000000000001</v>
      </c>
      <c r="S181" s="74">
        <v>1590</v>
      </c>
      <c r="T181" s="49">
        <v>600000</v>
      </c>
      <c r="U181" s="56">
        <v>4.62</v>
      </c>
      <c r="V181" s="56">
        <v>5.5</v>
      </c>
      <c r="W181" s="1">
        <v>3.4</v>
      </c>
      <c r="X181" s="28">
        <v>2.3109999999999999</v>
      </c>
      <c r="Y181" s="60">
        <v>13.9</v>
      </c>
      <c r="Z181" s="1">
        <v>75</v>
      </c>
      <c r="AA181" s="60">
        <v>1.1000000000000001</v>
      </c>
      <c r="AB181" s="1">
        <v>85</v>
      </c>
      <c r="AC181" s="1">
        <v>50</v>
      </c>
      <c r="AD181" s="1">
        <v>34</v>
      </c>
      <c r="AE181" s="36">
        <v>5</v>
      </c>
    </row>
    <row r="182" spans="1:31" ht="16" thickBot="1" x14ac:dyDescent="0.25">
      <c r="A182" s="1">
        <v>18</v>
      </c>
      <c r="B182" s="1" t="s">
        <v>70</v>
      </c>
      <c r="C182" s="29">
        <v>2.3929999999999998</v>
      </c>
      <c r="D182" s="2">
        <v>19</v>
      </c>
      <c r="E182" s="2">
        <v>2</v>
      </c>
      <c r="F182" s="2">
        <v>4</v>
      </c>
      <c r="G182" s="16">
        <v>2.7094999999999998</v>
      </c>
      <c r="H182" s="10">
        <v>1.5105</v>
      </c>
      <c r="I182" s="17">
        <v>2.7225000000000001</v>
      </c>
      <c r="J182" s="20">
        <f t="shared" si="5"/>
        <v>2.2355610561056101</v>
      </c>
      <c r="K182" s="20">
        <f t="shared" si="4"/>
        <v>6.5791451690091822</v>
      </c>
      <c r="L182" s="34"/>
      <c r="M182" s="2"/>
      <c r="N182" s="39"/>
      <c r="O182" s="46"/>
      <c r="P182" s="46"/>
      <c r="Q182" s="66"/>
      <c r="R182" s="70"/>
      <c r="S182" s="76"/>
      <c r="T182" s="50"/>
      <c r="U182" s="57">
        <v>4.62</v>
      </c>
      <c r="V182" s="57">
        <v>5.5</v>
      </c>
      <c r="W182" s="2">
        <v>3.4</v>
      </c>
      <c r="X182" s="29">
        <v>2.3109999999999999</v>
      </c>
      <c r="Y182" s="61">
        <v>13.9</v>
      </c>
      <c r="Z182" s="2">
        <v>75</v>
      </c>
      <c r="AA182" s="61">
        <v>1.1000000000000001</v>
      </c>
      <c r="AB182" s="2">
        <v>85</v>
      </c>
      <c r="AC182" s="2">
        <v>50</v>
      </c>
      <c r="AD182" s="2">
        <v>34</v>
      </c>
      <c r="AE182" s="4">
        <v>5</v>
      </c>
    </row>
    <row r="183" spans="1:31" x14ac:dyDescent="0.2">
      <c r="A183" s="1">
        <v>19</v>
      </c>
      <c r="B183" s="1" t="s">
        <v>71</v>
      </c>
      <c r="C183" s="28">
        <v>2.4159999999999999</v>
      </c>
      <c r="D183" s="1">
        <v>19</v>
      </c>
      <c r="E183" s="26">
        <v>1</v>
      </c>
      <c r="F183" s="26">
        <v>0</v>
      </c>
      <c r="G183" s="21">
        <v>24.044499999999999</v>
      </c>
      <c r="H183" s="22">
        <v>13.505000000000001</v>
      </c>
      <c r="I183" s="23">
        <v>24.296500000000002</v>
      </c>
      <c r="J183" s="24">
        <f t="shared" si="5"/>
        <v>2.2280961868136955</v>
      </c>
      <c r="K183" s="24">
        <f t="shared" si="4"/>
        <v>7.7774757113536648</v>
      </c>
      <c r="L183" s="33">
        <v>0</v>
      </c>
      <c r="M183" s="1"/>
      <c r="N183" s="38"/>
      <c r="O183" s="44"/>
      <c r="P183" s="44"/>
      <c r="Q183" s="65"/>
      <c r="R183" s="69"/>
      <c r="S183" s="74"/>
      <c r="T183" s="49"/>
      <c r="U183" s="56">
        <v>4.33</v>
      </c>
      <c r="V183" s="56">
        <v>5.39</v>
      </c>
      <c r="W183" s="1">
        <v>3.2</v>
      </c>
      <c r="X183" s="28">
        <v>2.339</v>
      </c>
      <c r="Y183" s="60">
        <v>13.1</v>
      </c>
      <c r="Z183" s="1">
        <v>76</v>
      </c>
      <c r="AA183" s="60">
        <v>1.3</v>
      </c>
      <c r="AB183" s="1">
        <v>83</v>
      </c>
      <c r="AC183" s="1">
        <v>53</v>
      </c>
      <c r="AD183" s="1">
        <v>37</v>
      </c>
      <c r="AE183" s="36">
        <v>5.8</v>
      </c>
    </row>
    <row r="184" spans="1:31" x14ac:dyDescent="0.2">
      <c r="A184" s="1">
        <v>19</v>
      </c>
      <c r="B184" s="1" t="s">
        <v>71</v>
      </c>
      <c r="C184" s="28">
        <v>2.4159999999999999</v>
      </c>
      <c r="D184" s="1">
        <v>19</v>
      </c>
      <c r="E184" s="1">
        <v>1</v>
      </c>
      <c r="F184" s="1">
        <v>1</v>
      </c>
      <c r="G184" s="11">
        <v>2.7440000000000002</v>
      </c>
      <c r="H184" s="12">
        <v>1.5449999999999999</v>
      </c>
      <c r="I184" s="13">
        <v>2.7559999999999998</v>
      </c>
      <c r="J184" s="18">
        <f t="shared" si="5"/>
        <v>2.2658959537572261</v>
      </c>
      <c r="K184" s="18">
        <f t="shared" si="4"/>
        <v>6.2129158213068632</v>
      </c>
      <c r="L184" s="33">
        <v>600</v>
      </c>
      <c r="M184" s="1">
        <v>1</v>
      </c>
      <c r="N184" s="38">
        <v>45699</v>
      </c>
      <c r="O184" s="44">
        <v>2691</v>
      </c>
      <c r="P184" s="44">
        <v>4485</v>
      </c>
      <c r="Q184" s="65">
        <v>1.9</v>
      </c>
      <c r="R184" s="69">
        <v>1335.8</v>
      </c>
      <c r="S184" s="74">
        <v>2371</v>
      </c>
      <c r="T184" s="49">
        <v>140400</v>
      </c>
      <c r="U184" s="56">
        <v>4.33</v>
      </c>
      <c r="V184" s="56">
        <v>5.39</v>
      </c>
      <c r="W184" s="1">
        <v>3.2</v>
      </c>
      <c r="X184" s="28">
        <v>2.339</v>
      </c>
      <c r="Y184" s="60">
        <v>13.1</v>
      </c>
      <c r="Z184" s="1">
        <v>76</v>
      </c>
      <c r="AA184" s="60">
        <v>1.3</v>
      </c>
      <c r="AB184" s="1">
        <v>83</v>
      </c>
      <c r="AC184" s="1">
        <v>53</v>
      </c>
      <c r="AD184" s="1">
        <v>37</v>
      </c>
      <c r="AE184" s="36">
        <v>5.8</v>
      </c>
    </row>
    <row r="185" spans="1:31" x14ac:dyDescent="0.2">
      <c r="A185" s="1">
        <v>19</v>
      </c>
      <c r="B185" s="1" t="s">
        <v>71</v>
      </c>
      <c r="C185" s="28">
        <v>2.4159999999999999</v>
      </c>
      <c r="D185" s="1">
        <v>19</v>
      </c>
      <c r="E185" s="1">
        <v>1</v>
      </c>
      <c r="F185" s="1">
        <v>2</v>
      </c>
      <c r="G185" s="11">
        <v>2.6419999999999999</v>
      </c>
      <c r="H185" s="12">
        <v>1.4864999999999999</v>
      </c>
      <c r="I185" s="13">
        <v>2.6515</v>
      </c>
      <c r="J185" s="18">
        <f t="shared" si="5"/>
        <v>2.267811158798283</v>
      </c>
      <c r="K185" s="18">
        <f t="shared" si="4"/>
        <v>6.1336440894750428</v>
      </c>
      <c r="L185" s="33">
        <v>600</v>
      </c>
      <c r="M185" s="1">
        <v>2</v>
      </c>
      <c r="N185" s="38">
        <v>45699</v>
      </c>
      <c r="O185" s="44">
        <v>2883</v>
      </c>
      <c r="P185" s="44">
        <v>4791</v>
      </c>
      <c r="Q185" s="65">
        <v>1.8129999999999999</v>
      </c>
      <c r="R185" s="69">
        <v>1419.4</v>
      </c>
      <c r="S185" s="74">
        <v>1431</v>
      </c>
      <c r="T185" s="49">
        <v>37500</v>
      </c>
      <c r="U185" s="56">
        <v>4.33</v>
      </c>
      <c r="V185" s="56">
        <v>5.39</v>
      </c>
      <c r="W185" s="1">
        <v>3.2</v>
      </c>
      <c r="X185" s="28">
        <v>2.339</v>
      </c>
      <c r="Y185" s="60">
        <v>13.1</v>
      </c>
      <c r="Z185" s="1">
        <v>76</v>
      </c>
      <c r="AA185" s="60">
        <v>1.3</v>
      </c>
      <c r="AB185" s="1">
        <v>83</v>
      </c>
      <c r="AC185" s="1">
        <v>53</v>
      </c>
      <c r="AD185" s="1">
        <v>37</v>
      </c>
      <c r="AE185" s="36">
        <v>5.8</v>
      </c>
    </row>
    <row r="186" spans="1:31" x14ac:dyDescent="0.2">
      <c r="A186" s="1">
        <v>19</v>
      </c>
      <c r="B186" s="1" t="s">
        <v>71</v>
      </c>
      <c r="C186" s="28">
        <v>2.4159999999999999</v>
      </c>
      <c r="D186" s="1">
        <v>19</v>
      </c>
      <c r="E186" s="1">
        <v>1</v>
      </c>
      <c r="F186" s="1">
        <v>3</v>
      </c>
      <c r="G186" s="11">
        <v>2.6375000000000002</v>
      </c>
      <c r="H186" s="12">
        <v>1.484</v>
      </c>
      <c r="I186" s="13">
        <v>2.6469999999999998</v>
      </c>
      <c r="J186" s="18">
        <f t="shared" si="5"/>
        <v>2.2678417884780746</v>
      </c>
      <c r="K186" s="18">
        <f t="shared" si="4"/>
        <v>6.1323763047154483</v>
      </c>
      <c r="L186" s="33">
        <v>400</v>
      </c>
      <c r="M186" s="1">
        <v>3</v>
      </c>
      <c r="N186" s="38">
        <v>45699</v>
      </c>
      <c r="O186" s="44">
        <v>2081</v>
      </c>
      <c r="P186" s="44">
        <v>5211</v>
      </c>
      <c r="Q186" s="65">
        <v>0.78900000000000003</v>
      </c>
      <c r="R186" s="69">
        <v>1044.9000000000001</v>
      </c>
      <c r="S186" s="74">
        <v>2882</v>
      </c>
      <c r="T186" s="49">
        <v>802960</v>
      </c>
      <c r="U186" s="56">
        <v>4.33</v>
      </c>
      <c r="V186" s="56">
        <v>5.39</v>
      </c>
      <c r="W186" s="1">
        <v>3.2</v>
      </c>
      <c r="X186" s="28">
        <v>2.339</v>
      </c>
      <c r="Y186" s="60">
        <v>13.1</v>
      </c>
      <c r="Z186" s="1">
        <v>76</v>
      </c>
      <c r="AA186" s="60">
        <v>1.3</v>
      </c>
      <c r="AB186" s="1">
        <v>83</v>
      </c>
      <c r="AC186" s="1">
        <v>53</v>
      </c>
      <c r="AD186" s="1">
        <v>37</v>
      </c>
      <c r="AE186" s="36">
        <v>5.8</v>
      </c>
    </row>
    <row r="187" spans="1:31" x14ac:dyDescent="0.2">
      <c r="A187" s="1">
        <v>19</v>
      </c>
      <c r="B187" s="1" t="s">
        <v>71</v>
      </c>
      <c r="C187" s="28">
        <v>2.4159999999999999</v>
      </c>
      <c r="D187" s="1">
        <v>19</v>
      </c>
      <c r="E187" s="5">
        <v>1</v>
      </c>
      <c r="F187" s="5">
        <v>4</v>
      </c>
      <c r="G187" s="14">
        <v>2.673</v>
      </c>
      <c r="H187" s="9">
        <v>1.5029999999999999</v>
      </c>
      <c r="I187" s="15">
        <v>2.6825000000000001</v>
      </c>
      <c r="J187" s="19">
        <f t="shared" si="5"/>
        <v>2.266214497668503</v>
      </c>
      <c r="K187" s="19">
        <f t="shared" si="4"/>
        <v>6.1997310567672548</v>
      </c>
      <c r="L187" s="41">
        <v>400</v>
      </c>
      <c r="M187" s="5">
        <v>4</v>
      </c>
      <c r="N187" s="42">
        <v>45700</v>
      </c>
      <c r="O187" s="47">
        <v>2394</v>
      </c>
      <c r="P187" s="47">
        <v>5999</v>
      </c>
      <c r="Q187" s="67">
        <v>0.78900000000000003</v>
      </c>
      <c r="R187" s="71">
        <v>1161.0999999999999</v>
      </c>
      <c r="S187" s="75">
        <v>1798</v>
      </c>
      <c r="T187" s="51">
        <v>650000</v>
      </c>
      <c r="U187" s="58">
        <v>4.33</v>
      </c>
      <c r="V187" s="58">
        <v>5.39</v>
      </c>
      <c r="W187" s="5">
        <v>3.2</v>
      </c>
      <c r="X187" s="53">
        <v>2.339</v>
      </c>
      <c r="Y187" s="62">
        <v>13.1</v>
      </c>
      <c r="Z187" s="5">
        <v>76</v>
      </c>
      <c r="AA187" s="62">
        <v>1.3</v>
      </c>
      <c r="AB187" s="5">
        <v>83</v>
      </c>
      <c r="AC187" s="5">
        <v>53</v>
      </c>
      <c r="AD187" s="5">
        <v>37</v>
      </c>
      <c r="AE187" s="43">
        <v>5.8</v>
      </c>
    </row>
    <row r="188" spans="1:31" x14ac:dyDescent="0.2">
      <c r="A188" s="1">
        <v>19</v>
      </c>
      <c r="B188" s="1" t="s">
        <v>72</v>
      </c>
      <c r="C188" s="28">
        <v>2.4159999999999999</v>
      </c>
      <c r="D188" s="1">
        <v>19</v>
      </c>
      <c r="E188" s="26">
        <v>2</v>
      </c>
      <c r="F188" s="26">
        <v>0</v>
      </c>
      <c r="G188" s="21">
        <v>24.047499999999999</v>
      </c>
      <c r="H188" s="22">
        <v>13.516999999999999</v>
      </c>
      <c r="I188" s="23">
        <v>24.317499999999999</v>
      </c>
      <c r="J188" s="24">
        <f t="shared" si="5"/>
        <v>2.2265172908661635</v>
      </c>
      <c r="K188" s="24">
        <f t="shared" si="4"/>
        <v>7.8428273648111109</v>
      </c>
      <c r="L188" s="33">
        <v>0</v>
      </c>
      <c r="M188" s="1"/>
      <c r="N188" s="38"/>
      <c r="O188" s="44"/>
      <c r="P188" s="44"/>
      <c r="Q188" s="65"/>
      <c r="R188" s="69"/>
      <c r="S188" s="74"/>
      <c r="T188" s="49"/>
      <c r="U188" s="56">
        <v>4.33</v>
      </c>
      <c r="V188" s="56">
        <v>5.39</v>
      </c>
      <c r="W188" s="1">
        <v>3.2</v>
      </c>
      <c r="X188" s="28">
        <v>2.339</v>
      </c>
      <c r="Y188" s="60">
        <v>13.1</v>
      </c>
      <c r="Z188" s="1">
        <v>76</v>
      </c>
      <c r="AA188" s="60">
        <v>1.3</v>
      </c>
      <c r="AB188" s="1">
        <v>83</v>
      </c>
      <c r="AC188" s="1">
        <v>53</v>
      </c>
      <c r="AD188" s="1">
        <v>37</v>
      </c>
      <c r="AE188" s="36">
        <v>5.8</v>
      </c>
    </row>
    <row r="189" spans="1:31" x14ac:dyDescent="0.2">
      <c r="A189" s="1">
        <v>19</v>
      </c>
      <c r="B189" s="1" t="s">
        <v>72</v>
      </c>
      <c r="C189" s="28">
        <v>2.4159999999999999</v>
      </c>
      <c r="D189" s="1">
        <v>19</v>
      </c>
      <c r="E189" s="1">
        <v>2</v>
      </c>
      <c r="F189" s="1">
        <v>1</v>
      </c>
      <c r="G189" s="11">
        <v>2.7814999999999999</v>
      </c>
      <c r="H189" s="12">
        <v>1.5725</v>
      </c>
      <c r="I189" s="13">
        <v>2.7995000000000001</v>
      </c>
      <c r="J189" s="18">
        <f t="shared" si="5"/>
        <v>2.2669111654441725</v>
      </c>
      <c r="K189" s="18">
        <f t="shared" si="4"/>
        <v>6.1708954700259717</v>
      </c>
      <c r="L189" s="33">
        <v>400</v>
      </c>
      <c r="M189" s="1">
        <v>1</v>
      </c>
      <c r="N189" s="38">
        <v>45703</v>
      </c>
      <c r="O189" s="44">
        <v>2519</v>
      </c>
      <c r="P189" s="44">
        <v>6308</v>
      </c>
      <c r="Q189" s="65">
        <v>0.72699999999999998</v>
      </c>
      <c r="R189" s="69">
        <v>1238.3</v>
      </c>
      <c r="S189" s="74">
        <v>1892</v>
      </c>
      <c r="T189" s="49">
        <v>600000</v>
      </c>
      <c r="U189" s="56">
        <v>4.33</v>
      </c>
      <c r="V189" s="56">
        <v>5.39</v>
      </c>
      <c r="W189" s="1">
        <v>3.2</v>
      </c>
      <c r="X189" s="28">
        <v>2.339</v>
      </c>
      <c r="Y189" s="60">
        <v>13.1</v>
      </c>
      <c r="Z189" s="1">
        <v>76</v>
      </c>
      <c r="AA189" s="60">
        <v>1.3</v>
      </c>
      <c r="AB189" s="1">
        <v>83</v>
      </c>
      <c r="AC189" s="1">
        <v>53</v>
      </c>
      <c r="AD189" s="1">
        <v>37</v>
      </c>
      <c r="AE189" s="36">
        <v>5.8</v>
      </c>
    </row>
    <row r="190" spans="1:31" x14ac:dyDescent="0.2">
      <c r="A190" s="1">
        <v>19</v>
      </c>
      <c r="B190" s="1" t="s">
        <v>72</v>
      </c>
      <c r="C190" s="28">
        <v>2.4159999999999999</v>
      </c>
      <c r="D190" s="1">
        <v>19</v>
      </c>
      <c r="E190" s="1">
        <v>2</v>
      </c>
      <c r="F190" s="1">
        <v>2</v>
      </c>
      <c r="G190" s="11">
        <v>2.6524999999999999</v>
      </c>
      <c r="H190" s="12">
        <v>1.4930000000000001</v>
      </c>
      <c r="I190" s="13">
        <v>2.669</v>
      </c>
      <c r="J190" s="18">
        <f t="shared" si="5"/>
        <v>2.2555272108843538</v>
      </c>
      <c r="K190" s="18">
        <f t="shared" si="4"/>
        <v>6.6420856422038987</v>
      </c>
      <c r="L190" s="33">
        <v>600</v>
      </c>
      <c r="M190" s="1">
        <v>2</v>
      </c>
      <c r="N190" s="38">
        <v>45704</v>
      </c>
      <c r="O190" s="44">
        <v>3523</v>
      </c>
      <c r="P190" s="44">
        <v>5883</v>
      </c>
      <c r="Q190" s="65">
        <v>2.036</v>
      </c>
      <c r="R190" s="69">
        <v>1747.1</v>
      </c>
      <c r="S190" s="74">
        <v>1765</v>
      </c>
      <c r="T190" s="49">
        <v>85000</v>
      </c>
      <c r="U190" s="56">
        <v>4.33</v>
      </c>
      <c r="V190" s="56">
        <v>5.39</v>
      </c>
      <c r="W190" s="1">
        <v>3.2</v>
      </c>
      <c r="X190" s="28">
        <v>2.339</v>
      </c>
      <c r="Y190" s="60">
        <v>13.1</v>
      </c>
      <c r="Z190" s="1">
        <v>76</v>
      </c>
      <c r="AA190" s="60">
        <v>1.3</v>
      </c>
      <c r="AB190" s="1">
        <v>83</v>
      </c>
      <c r="AC190" s="1">
        <v>53</v>
      </c>
      <c r="AD190" s="1">
        <v>37</v>
      </c>
      <c r="AE190" s="36">
        <v>5.8</v>
      </c>
    </row>
    <row r="191" spans="1:31" x14ac:dyDescent="0.2">
      <c r="A191" s="1">
        <v>19</v>
      </c>
      <c r="B191" s="1" t="s">
        <v>72</v>
      </c>
      <c r="C191" s="28">
        <v>2.4159999999999999</v>
      </c>
      <c r="D191" s="1">
        <v>19</v>
      </c>
      <c r="E191" s="1">
        <v>2</v>
      </c>
      <c r="F191" s="1">
        <v>3</v>
      </c>
      <c r="G191" s="11">
        <v>2.7025000000000001</v>
      </c>
      <c r="H191" s="12">
        <v>1.5225</v>
      </c>
      <c r="I191" s="13">
        <v>2.7185000000000001</v>
      </c>
      <c r="J191" s="18">
        <f t="shared" si="5"/>
        <v>2.2596153846153846</v>
      </c>
      <c r="K191" s="18">
        <f t="shared" si="4"/>
        <v>6.4728731533367334</v>
      </c>
      <c r="L191" s="33"/>
      <c r="M191" s="1"/>
      <c r="N191" s="38"/>
      <c r="O191" s="44"/>
      <c r="P191" s="44"/>
      <c r="Q191" s="65"/>
      <c r="R191" s="69"/>
      <c r="S191" s="74"/>
      <c r="T191" s="49"/>
      <c r="U191" s="56">
        <v>4.33</v>
      </c>
      <c r="V191" s="56">
        <v>5.39</v>
      </c>
      <c r="W191" s="1">
        <v>3.2</v>
      </c>
      <c r="X191" s="28">
        <v>2.339</v>
      </c>
      <c r="Y191" s="60">
        <v>13.1</v>
      </c>
      <c r="Z191" s="1">
        <v>76</v>
      </c>
      <c r="AA191" s="60">
        <v>1.3</v>
      </c>
      <c r="AB191" s="1">
        <v>83</v>
      </c>
      <c r="AC191" s="1">
        <v>53</v>
      </c>
      <c r="AD191" s="1">
        <v>37</v>
      </c>
      <c r="AE191" s="36">
        <v>5.8</v>
      </c>
    </row>
    <row r="192" spans="1:31" ht="16" thickBot="1" x14ac:dyDescent="0.25">
      <c r="A192" s="1">
        <v>19</v>
      </c>
      <c r="B192" s="1" t="s">
        <v>72</v>
      </c>
      <c r="C192" s="29">
        <v>2.4159999999999999</v>
      </c>
      <c r="D192" s="2">
        <v>19</v>
      </c>
      <c r="E192" s="2">
        <v>2</v>
      </c>
      <c r="F192" s="2">
        <v>4</v>
      </c>
      <c r="G192" s="16">
        <v>2.61</v>
      </c>
      <c r="H192" s="10">
        <v>1.4615</v>
      </c>
      <c r="I192" s="17">
        <v>2.6190000000000002</v>
      </c>
      <c r="J192" s="20">
        <f t="shared" si="5"/>
        <v>2.254859611231101</v>
      </c>
      <c r="K192" s="20">
        <f t="shared" si="4"/>
        <v>6.6697180781829069</v>
      </c>
      <c r="L192" s="34"/>
      <c r="M192" s="2"/>
      <c r="N192" s="39"/>
      <c r="O192" s="46"/>
      <c r="P192" s="46"/>
      <c r="Q192" s="66"/>
      <c r="R192" s="70"/>
      <c r="S192" s="76"/>
      <c r="T192" s="50"/>
      <c r="U192" s="57">
        <v>4.33</v>
      </c>
      <c r="V192" s="57">
        <v>5.39</v>
      </c>
      <c r="W192" s="2">
        <v>3.2</v>
      </c>
      <c r="X192" s="29">
        <v>2.339</v>
      </c>
      <c r="Y192" s="61">
        <v>13.1</v>
      </c>
      <c r="Z192" s="2">
        <v>76</v>
      </c>
      <c r="AA192" s="61">
        <v>1.3</v>
      </c>
      <c r="AB192" s="2">
        <v>83</v>
      </c>
      <c r="AC192" s="2">
        <v>53</v>
      </c>
      <c r="AD192" s="2">
        <v>37</v>
      </c>
      <c r="AE192" s="4">
        <v>5.8</v>
      </c>
    </row>
    <row r="193" spans="1:31" x14ac:dyDescent="0.2">
      <c r="A193" s="1">
        <v>20</v>
      </c>
      <c r="B193" s="1" t="s">
        <v>73</v>
      </c>
      <c r="C193" s="28">
        <v>2.37</v>
      </c>
      <c r="D193" s="1">
        <v>19</v>
      </c>
      <c r="E193" s="26">
        <v>1</v>
      </c>
      <c r="F193" s="26">
        <v>0</v>
      </c>
      <c r="G193" s="21">
        <v>24.115500000000001</v>
      </c>
      <c r="H193" s="22">
        <v>13.366</v>
      </c>
      <c r="I193" s="23">
        <v>24.421500000000002</v>
      </c>
      <c r="J193" s="24">
        <f t="shared" si="5"/>
        <v>2.1813124689068788</v>
      </c>
      <c r="K193" s="24">
        <f t="shared" si="4"/>
        <v>7.9614992022414066</v>
      </c>
      <c r="L193" s="33">
        <v>0</v>
      </c>
      <c r="M193" s="1"/>
      <c r="N193" s="38"/>
      <c r="O193" s="44"/>
      <c r="P193" s="44"/>
      <c r="Q193" s="65"/>
      <c r="R193" s="69"/>
      <c r="S193" s="74"/>
      <c r="T193" s="49"/>
      <c r="U193" s="56">
        <v>5.09</v>
      </c>
      <c r="V193" s="56">
        <v>5.83</v>
      </c>
      <c r="W193" s="1">
        <v>3.8</v>
      </c>
      <c r="X193" s="28">
        <v>2.2799999999999998</v>
      </c>
      <c r="Y193" s="60">
        <v>15.1</v>
      </c>
      <c r="Z193" s="1">
        <v>75</v>
      </c>
      <c r="AA193" s="60">
        <v>1</v>
      </c>
      <c r="AB193" s="1">
        <v>84</v>
      </c>
      <c r="AC193" s="1">
        <v>52</v>
      </c>
      <c r="AD193" s="1">
        <v>33</v>
      </c>
      <c r="AE193" s="36">
        <v>5.0999999999999996</v>
      </c>
    </row>
    <row r="194" spans="1:31" x14ac:dyDescent="0.2">
      <c r="A194" s="1">
        <v>20</v>
      </c>
      <c r="B194" s="1" t="s">
        <v>73</v>
      </c>
      <c r="C194" s="28">
        <v>2.37</v>
      </c>
      <c r="D194" s="1">
        <v>19</v>
      </c>
      <c r="E194" s="1">
        <v>1</v>
      </c>
      <c r="F194" s="1">
        <v>1</v>
      </c>
      <c r="G194" s="11">
        <v>2.5920000000000001</v>
      </c>
      <c r="H194" s="12">
        <v>1.427</v>
      </c>
      <c r="I194" s="13">
        <v>2.6004999999999998</v>
      </c>
      <c r="J194" s="18">
        <f t="shared" si="5"/>
        <v>2.2087771623348962</v>
      </c>
      <c r="K194" s="18">
        <f t="shared" si="4"/>
        <v>6.8026513782744269</v>
      </c>
      <c r="L194" s="33">
        <v>600</v>
      </c>
      <c r="M194" s="1">
        <v>1</v>
      </c>
      <c r="N194" s="38">
        <v>45708</v>
      </c>
      <c r="O194" s="44">
        <v>1893</v>
      </c>
      <c r="P194" s="44">
        <v>3164</v>
      </c>
      <c r="Q194" s="65">
        <v>1.508</v>
      </c>
      <c r="R194" s="69">
        <v>862.7</v>
      </c>
      <c r="S194" s="74">
        <v>936</v>
      </c>
      <c r="T194" s="49">
        <v>130000</v>
      </c>
      <c r="U194" s="56">
        <v>5.09</v>
      </c>
      <c r="V194" s="56">
        <v>5.83</v>
      </c>
      <c r="W194" s="1">
        <v>3.8</v>
      </c>
      <c r="X194" s="28">
        <v>2.2799999999999998</v>
      </c>
      <c r="Y194" s="60">
        <v>15.1</v>
      </c>
      <c r="Z194" s="1">
        <v>75</v>
      </c>
      <c r="AA194" s="60">
        <v>1</v>
      </c>
      <c r="AB194" s="1">
        <v>84</v>
      </c>
      <c r="AC194" s="1">
        <v>52</v>
      </c>
      <c r="AD194" s="1">
        <v>33</v>
      </c>
      <c r="AE194" s="36">
        <v>5.0999999999999996</v>
      </c>
    </row>
    <row r="195" spans="1:31" x14ac:dyDescent="0.2">
      <c r="A195" s="1">
        <v>20</v>
      </c>
      <c r="B195" s="1" t="s">
        <v>73</v>
      </c>
      <c r="C195" s="28">
        <v>2.37</v>
      </c>
      <c r="D195" s="1">
        <v>19</v>
      </c>
      <c r="E195" s="1">
        <v>1</v>
      </c>
      <c r="F195" s="1">
        <v>2</v>
      </c>
      <c r="G195" s="11">
        <v>2.5459999999999998</v>
      </c>
      <c r="H195" s="12">
        <v>1.3939999999999999</v>
      </c>
      <c r="I195" s="13">
        <v>2.5529999999999999</v>
      </c>
      <c r="J195" s="18">
        <f t="shared" si="5"/>
        <v>2.1967213114754096</v>
      </c>
      <c r="K195" s="18">
        <f t="shared" ref="K195:K242" si="6">+IF(G195=0,"",(1-(J195/C195))*100)</f>
        <v>7.3113370685481183</v>
      </c>
      <c r="L195" s="33">
        <v>400</v>
      </c>
      <c r="M195" s="1">
        <v>2</v>
      </c>
      <c r="N195" s="38">
        <v>45708</v>
      </c>
      <c r="O195" s="44">
        <v>2052</v>
      </c>
      <c r="P195" s="44">
        <v>5156</v>
      </c>
      <c r="Q195" s="65">
        <v>0.78900000000000003</v>
      </c>
      <c r="R195" s="69">
        <v>899.4</v>
      </c>
      <c r="S195" s="74">
        <v>3082</v>
      </c>
      <c r="T195" s="49">
        <v>585690</v>
      </c>
      <c r="U195" s="56">
        <v>5.09</v>
      </c>
      <c r="V195" s="56">
        <v>5.83</v>
      </c>
      <c r="W195" s="1">
        <v>3.8</v>
      </c>
      <c r="X195" s="28">
        <v>2.2799999999999998</v>
      </c>
      <c r="Y195" s="60">
        <v>15.1</v>
      </c>
      <c r="Z195" s="1">
        <v>75</v>
      </c>
      <c r="AA195" s="60">
        <v>1</v>
      </c>
      <c r="AB195" s="1">
        <v>84</v>
      </c>
      <c r="AC195" s="1">
        <v>52</v>
      </c>
      <c r="AD195" s="1">
        <v>33</v>
      </c>
      <c r="AE195" s="36">
        <v>5.0999999999999996</v>
      </c>
    </row>
    <row r="196" spans="1:31" x14ac:dyDescent="0.2">
      <c r="A196" s="1">
        <v>20</v>
      </c>
      <c r="B196" s="1" t="s">
        <v>73</v>
      </c>
      <c r="C196" s="28">
        <v>2.37</v>
      </c>
      <c r="D196" s="1">
        <v>19</v>
      </c>
      <c r="E196" s="1">
        <v>1</v>
      </c>
      <c r="F196" s="1">
        <v>3</v>
      </c>
      <c r="G196" s="11">
        <v>2.5979999999999999</v>
      </c>
      <c r="H196" s="12">
        <v>1.4259999999999999</v>
      </c>
      <c r="I196" s="13">
        <v>2.6084999999999998</v>
      </c>
      <c r="J196" s="18">
        <f t="shared" si="5"/>
        <v>2.1970401691331927</v>
      </c>
      <c r="K196" s="18">
        <f t="shared" si="6"/>
        <v>7.2978831589370241</v>
      </c>
      <c r="L196" s="33">
        <v>600</v>
      </c>
      <c r="M196" s="1">
        <v>3</v>
      </c>
      <c r="N196" s="38">
        <v>45709</v>
      </c>
      <c r="O196" s="44">
        <v>2654</v>
      </c>
      <c r="P196" s="44">
        <v>4418</v>
      </c>
      <c r="Q196" s="65">
        <v>1.7190000000000001</v>
      </c>
      <c r="R196" s="69">
        <v>1222.3</v>
      </c>
      <c r="S196" s="74">
        <v>2143</v>
      </c>
      <c r="T196" s="49">
        <v>50260</v>
      </c>
      <c r="U196" s="56">
        <v>5.09</v>
      </c>
      <c r="V196" s="56">
        <v>5.83</v>
      </c>
      <c r="W196" s="1">
        <v>3.8</v>
      </c>
      <c r="X196" s="28">
        <v>2.2799999999999998</v>
      </c>
      <c r="Y196" s="60">
        <v>15.1</v>
      </c>
      <c r="Z196" s="1">
        <v>75</v>
      </c>
      <c r="AA196" s="60">
        <v>1</v>
      </c>
      <c r="AB196" s="1">
        <v>84</v>
      </c>
      <c r="AC196" s="1">
        <v>52</v>
      </c>
      <c r="AD196" s="1">
        <v>33</v>
      </c>
      <c r="AE196" s="36">
        <v>5.0999999999999996</v>
      </c>
    </row>
    <row r="197" spans="1:31" x14ac:dyDescent="0.2">
      <c r="A197" s="1">
        <v>20</v>
      </c>
      <c r="B197" s="1" t="s">
        <v>73</v>
      </c>
      <c r="C197" s="28">
        <v>2.37</v>
      </c>
      <c r="D197" s="1">
        <v>19</v>
      </c>
      <c r="E197" s="5">
        <v>1</v>
      </c>
      <c r="F197" s="5">
        <v>4</v>
      </c>
      <c r="G197" s="14">
        <v>2.5880000000000001</v>
      </c>
      <c r="H197" s="9">
        <v>1.419</v>
      </c>
      <c r="I197" s="15">
        <v>2.597</v>
      </c>
      <c r="J197" s="19">
        <f t="shared" si="5"/>
        <v>2.1969439728353142</v>
      </c>
      <c r="K197" s="19">
        <f t="shared" si="6"/>
        <v>7.3019420744593226</v>
      </c>
      <c r="L197" s="41">
        <v>600</v>
      </c>
      <c r="M197" s="5">
        <v>4</v>
      </c>
      <c r="N197" s="42">
        <v>45709</v>
      </c>
      <c r="O197" s="47">
        <v>2672</v>
      </c>
      <c r="P197" s="47">
        <v>4456</v>
      </c>
      <c r="Q197" s="67">
        <v>1.736</v>
      </c>
      <c r="R197" s="71">
        <v>1207.4000000000001</v>
      </c>
      <c r="S197" s="75">
        <v>2431</v>
      </c>
      <c r="T197" s="51">
        <v>55050</v>
      </c>
      <c r="U197" s="58">
        <v>5.09</v>
      </c>
      <c r="V197" s="58">
        <v>5.83</v>
      </c>
      <c r="W197" s="5">
        <v>3.8</v>
      </c>
      <c r="X197" s="53">
        <v>2.2799999999999998</v>
      </c>
      <c r="Y197" s="62">
        <v>15.1</v>
      </c>
      <c r="Z197" s="5">
        <v>75</v>
      </c>
      <c r="AA197" s="62">
        <v>1</v>
      </c>
      <c r="AB197" s="5">
        <v>84</v>
      </c>
      <c r="AC197" s="5">
        <v>52</v>
      </c>
      <c r="AD197" s="5">
        <v>33</v>
      </c>
      <c r="AE197" s="43">
        <v>5.0999999999999996</v>
      </c>
    </row>
    <row r="198" spans="1:31" x14ac:dyDescent="0.2">
      <c r="A198" s="1">
        <v>20</v>
      </c>
      <c r="B198" s="1" t="s">
        <v>74</v>
      </c>
      <c r="C198" s="28">
        <v>2.37</v>
      </c>
      <c r="D198" s="1">
        <v>19</v>
      </c>
      <c r="E198" s="26">
        <v>2</v>
      </c>
      <c r="F198" s="26">
        <v>0</v>
      </c>
      <c r="G198" s="21">
        <v>24.082000000000001</v>
      </c>
      <c r="H198" s="22">
        <v>13.391999999999999</v>
      </c>
      <c r="I198" s="23">
        <v>24.4255</v>
      </c>
      <c r="J198" s="24">
        <f t="shared" si="5"/>
        <v>2.1826256400960711</v>
      </c>
      <c r="K198" s="24">
        <f t="shared" si="6"/>
        <v>7.9060911351868768</v>
      </c>
      <c r="L198" s="33">
        <v>0</v>
      </c>
      <c r="M198" s="1"/>
      <c r="N198" s="38"/>
      <c r="O198" s="44"/>
      <c r="P198" s="44"/>
      <c r="Q198" s="65"/>
      <c r="R198" s="69"/>
      <c r="S198" s="74"/>
      <c r="T198" s="49"/>
      <c r="U198" s="56">
        <v>5.09</v>
      </c>
      <c r="V198" s="56">
        <v>5.83</v>
      </c>
      <c r="W198" s="1">
        <v>3.8</v>
      </c>
      <c r="X198" s="28">
        <v>2.2799999999999998</v>
      </c>
      <c r="Y198" s="60">
        <v>15.1</v>
      </c>
      <c r="Z198" s="1">
        <v>75</v>
      </c>
      <c r="AA198" s="60">
        <v>1</v>
      </c>
      <c r="AB198" s="1">
        <v>84</v>
      </c>
      <c r="AC198" s="1">
        <v>52</v>
      </c>
      <c r="AD198" s="1">
        <v>33</v>
      </c>
      <c r="AE198" s="36">
        <v>5.0999999999999996</v>
      </c>
    </row>
    <row r="199" spans="1:31" x14ac:dyDescent="0.2">
      <c r="A199" s="1">
        <v>20</v>
      </c>
      <c r="B199" s="1" t="s">
        <v>74</v>
      </c>
      <c r="C199" s="28">
        <v>2.37</v>
      </c>
      <c r="D199" s="1">
        <v>19</v>
      </c>
      <c r="E199" s="1">
        <v>2</v>
      </c>
      <c r="F199" s="1">
        <v>1</v>
      </c>
      <c r="G199" s="11">
        <v>2.5514999999999999</v>
      </c>
      <c r="H199" s="12">
        <v>1.4015</v>
      </c>
      <c r="I199" s="13">
        <v>2.5594999999999999</v>
      </c>
      <c r="J199" s="18">
        <f t="shared" ref="J199:J242" si="7">+IF(G199=0,"",G199/(I199-H199))</f>
        <v>2.2033678756476682</v>
      </c>
      <c r="K199" s="18">
        <f t="shared" si="6"/>
        <v>7.0308913228832033</v>
      </c>
      <c r="L199" s="33">
        <v>400</v>
      </c>
      <c r="M199" s="1">
        <v>1</v>
      </c>
      <c r="N199" s="38">
        <v>45713</v>
      </c>
      <c r="O199" s="44">
        <v>2318</v>
      </c>
      <c r="P199" s="44">
        <v>5805</v>
      </c>
      <c r="Q199" s="65">
        <v>0.93300000000000005</v>
      </c>
      <c r="R199" s="69">
        <v>1008.9</v>
      </c>
      <c r="S199" s="74">
        <v>1739</v>
      </c>
      <c r="T199" s="49">
        <v>375000</v>
      </c>
      <c r="U199" s="56">
        <v>5.09</v>
      </c>
      <c r="V199" s="56">
        <v>5.83</v>
      </c>
      <c r="W199" s="1">
        <v>3.8</v>
      </c>
      <c r="X199" s="28">
        <v>2.2799999999999998</v>
      </c>
      <c r="Y199" s="60">
        <v>15.1</v>
      </c>
      <c r="Z199" s="1">
        <v>75</v>
      </c>
      <c r="AA199" s="60">
        <v>1</v>
      </c>
      <c r="AB199" s="1">
        <v>84</v>
      </c>
      <c r="AC199" s="1">
        <v>52</v>
      </c>
      <c r="AD199" s="1">
        <v>33</v>
      </c>
      <c r="AE199" s="36">
        <v>5.0999999999999996</v>
      </c>
    </row>
    <row r="200" spans="1:31" x14ac:dyDescent="0.2">
      <c r="A200" s="1">
        <v>20</v>
      </c>
      <c r="B200" s="1" t="s">
        <v>74</v>
      </c>
      <c r="C200" s="28">
        <v>2.37</v>
      </c>
      <c r="D200" s="1">
        <v>19</v>
      </c>
      <c r="E200" s="1">
        <v>2</v>
      </c>
      <c r="F200" s="1">
        <v>2</v>
      </c>
      <c r="G200" s="11">
        <v>2.6515</v>
      </c>
      <c r="H200" s="12">
        <v>1.4544999999999999</v>
      </c>
      <c r="I200" s="13">
        <v>2.66</v>
      </c>
      <c r="J200" s="18">
        <f t="shared" si="7"/>
        <v>2.1995022812111151</v>
      </c>
      <c r="K200" s="18">
        <f t="shared" si="6"/>
        <v>7.1939965733706757</v>
      </c>
      <c r="L200" s="33">
        <v>400</v>
      </c>
      <c r="M200" s="1">
        <v>2</v>
      </c>
      <c r="N200" s="38">
        <v>45714</v>
      </c>
      <c r="O200" s="44">
        <v>1701</v>
      </c>
      <c r="P200" s="44">
        <v>4258</v>
      </c>
      <c r="Q200" s="65">
        <v>0.66100000000000003</v>
      </c>
      <c r="R200" s="69">
        <v>851</v>
      </c>
      <c r="S200" s="74">
        <v>2073</v>
      </c>
      <c r="T200" s="49">
        <v>842430</v>
      </c>
      <c r="U200" s="56">
        <v>5.09</v>
      </c>
      <c r="V200" s="56">
        <v>5.83</v>
      </c>
      <c r="W200" s="1">
        <v>3.8</v>
      </c>
      <c r="X200" s="28">
        <v>2.2799999999999998</v>
      </c>
      <c r="Y200" s="60">
        <v>15.1</v>
      </c>
      <c r="Z200" s="1">
        <v>75</v>
      </c>
      <c r="AA200" s="60">
        <v>1</v>
      </c>
      <c r="AB200" s="1">
        <v>84</v>
      </c>
      <c r="AC200" s="1">
        <v>52</v>
      </c>
      <c r="AD200" s="1">
        <v>33</v>
      </c>
      <c r="AE200" s="36">
        <v>5.0999999999999996</v>
      </c>
    </row>
    <row r="201" spans="1:31" x14ac:dyDescent="0.2">
      <c r="A201" s="1">
        <v>20</v>
      </c>
      <c r="B201" s="1" t="s">
        <v>74</v>
      </c>
      <c r="C201" s="28">
        <v>2.37</v>
      </c>
      <c r="D201" s="1">
        <v>19</v>
      </c>
      <c r="E201" s="1">
        <v>2</v>
      </c>
      <c r="F201" s="1">
        <v>3</v>
      </c>
      <c r="G201" s="11">
        <v>2.5939999999999999</v>
      </c>
      <c r="H201" s="12">
        <v>1.427</v>
      </c>
      <c r="I201" s="13">
        <v>2.6015000000000001</v>
      </c>
      <c r="J201" s="18">
        <f t="shared" si="7"/>
        <v>2.2085994040017027</v>
      </c>
      <c r="K201" s="18">
        <f t="shared" si="6"/>
        <v>6.8101517298859608</v>
      </c>
      <c r="L201" s="33"/>
      <c r="M201" s="1"/>
      <c r="N201" s="38"/>
      <c r="O201" s="44"/>
      <c r="P201" s="44"/>
      <c r="Q201" s="65"/>
      <c r="R201" s="69"/>
      <c r="S201" s="74"/>
      <c r="T201" s="49"/>
      <c r="U201" s="56">
        <v>5.09</v>
      </c>
      <c r="V201" s="56">
        <v>5.83</v>
      </c>
      <c r="W201" s="1">
        <v>3.8</v>
      </c>
      <c r="X201" s="28">
        <v>2.2799999999999998</v>
      </c>
      <c r="Y201" s="60">
        <v>15.1</v>
      </c>
      <c r="Z201" s="1">
        <v>75</v>
      </c>
      <c r="AA201" s="60">
        <v>1</v>
      </c>
      <c r="AB201" s="1">
        <v>84</v>
      </c>
      <c r="AC201" s="1">
        <v>52</v>
      </c>
      <c r="AD201" s="1">
        <v>33</v>
      </c>
      <c r="AE201" s="36">
        <v>5.0999999999999996</v>
      </c>
    </row>
    <row r="202" spans="1:31" ht="16" thickBot="1" x14ac:dyDescent="0.25">
      <c r="A202" s="1">
        <v>20</v>
      </c>
      <c r="B202" s="1" t="s">
        <v>74</v>
      </c>
      <c r="C202" s="29">
        <v>2.37</v>
      </c>
      <c r="D202" s="2">
        <v>19</v>
      </c>
      <c r="E202" s="2">
        <v>2</v>
      </c>
      <c r="F202" s="2">
        <v>4</v>
      </c>
      <c r="G202" s="16">
        <v>2.59</v>
      </c>
      <c r="H202" s="10">
        <v>1.4265000000000001</v>
      </c>
      <c r="I202" s="17">
        <v>2.6</v>
      </c>
      <c r="J202" s="20">
        <f t="shared" si="7"/>
        <v>2.2070728589688962</v>
      </c>
      <c r="K202" s="20">
        <f t="shared" si="6"/>
        <v>6.8745629127048069</v>
      </c>
      <c r="L202" s="34"/>
      <c r="M202" s="2"/>
      <c r="N202" s="39"/>
      <c r="O202" s="46"/>
      <c r="P202" s="46"/>
      <c r="Q202" s="66"/>
      <c r="R202" s="70"/>
      <c r="S202" s="76"/>
      <c r="T202" s="50"/>
      <c r="U202" s="57">
        <v>5.09</v>
      </c>
      <c r="V202" s="57">
        <v>5.83</v>
      </c>
      <c r="W202" s="2">
        <v>3.8</v>
      </c>
      <c r="X202" s="29">
        <v>2.2799999999999998</v>
      </c>
      <c r="Y202" s="61">
        <v>15.1</v>
      </c>
      <c r="Z202" s="2">
        <v>75</v>
      </c>
      <c r="AA202" s="61">
        <v>1</v>
      </c>
      <c r="AB202" s="2">
        <v>84</v>
      </c>
      <c r="AC202" s="2">
        <v>52</v>
      </c>
      <c r="AD202" s="2">
        <v>33</v>
      </c>
      <c r="AE202" s="4">
        <v>5.0999999999999996</v>
      </c>
    </row>
    <row r="203" spans="1:31" x14ac:dyDescent="0.2">
      <c r="A203" s="1">
        <v>21</v>
      </c>
      <c r="B203" s="1" t="s">
        <v>75</v>
      </c>
      <c r="C203" s="28">
        <v>2.4060000000000001</v>
      </c>
      <c r="D203" s="1">
        <v>19</v>
      </c>
      <c r="E203" s="26">
        <v>1</v>
      </c>
      <c r="F203" s="26">
        <v>0</v>
      </c>
      <c r="G203" s="21">
        <v>24.094999999999999</v>
      </c>
      <c r="H203" s="22">
        <v>13.4465</v>
      </c>
      <c r="I203" s="23">
        <v>24.317</v>
      </c>
      <c r="J203" s="24">
        <f t="shared" si="7"/>
        <v>2.2165493767535991</v>
      </c>
      <c r="K203" s="24">
        <f t="shared" si="6"/>
        <v>7.8740907417456762</v>
      </c>
      <c r="L203" s="33">
        <v>0</v>
      </c>
      <c r="M203" s="1"/>
      <c r="N203" s="38"/>
      <c r="O203" s="44"/>
      <c r="P203" s="44"/>
      <c r="Q203" s="65"/>
      <c r="R203" s="69"/>
      <c r="S203" s="74"/>
      <c r="T203" s="49"/>
      <c r="U203" s="56">
        <v>4.71</v>
      </c>
      <c r="V203" s="56">
        <v>5.55</v>
      </c>
      <c r="W203" s="1">
        <v>3.4</v>
      </c>
      <c r="X203" s="28">
        <v>2.3239999999999998</v>
      </c>
      <c r="Y203" s="60">
        <v>14.1</v>
      </c>
      <c r="Z203" s="1">
        <v>76</v>
      </c>
      <c r="AA203" s="60">
        <v>1.1000000000000001</v>
      </c>
      <c r="AB203" s="1">
        <v>85</v>
      </c>
      <c r="AC203" s="1">
        <v>52</v>
      </c>
      <c r="AD203" s="1">
        <v>35</v>
      </c>
      <c r="AE203" s="36">
        <v>5.3</v>
      </c>
    </row>
    <row r="204" spans="1:31" x14ac:dyDescent="0.2">
      <c r="A204" s="1">
        <v>21</v>
      </c>
      <c r="B204" s="1" t="s">
        <v>75</v>
      </c>
      <c r="C204" s="28">
        <v>2.4060000000000001</v>
      </c>
      <c r="D204" s="1">
        <v>19</v>
      </c>
      <c r="E204" s="1">
        <v>1</v>
      </c>
      <c r="F204" s="1">
        <v>1</v>
      </c>
      <c r="G204" s="11">
        <v>2.7565</v>
      </c>
      <c r="H204" s="12">
        <v>1.5349999999999999</v>
      </c>
      <c r="I204" s="13">
        <v>2.762</v>
      </c>
      <c r="J204" s="18">
        <f t="shared" si="7"/>
        <v>2.2465362673186631</v>
      </c>
      <c r="K204" s="18">
        <f t="shared" si="6"/>
        <v>6.6277528130231573</v>
      </c>
      <c r="L204" s="33">
        <v>600</v>
      </c>
      <c r="M204" s="1">
        <v>1</v>
      </c>
      <c r="N204" s="38">
        <v>45720</v>
      </c>
      <c r="O204" s="44">
        <v>2606</v>
      </c>
      <c r="P204" s="44">
        <v>4379</v>
      </c>
      <c r="Q204" s="65">
        <v>1.722</v>
      </c>
      <c r="R204" s="69">
        <v>1261.0999999999999</v>
      </c>
      <c r="S204" s="74">
        <v>1864</v>
      </c>
      <c r="T204" s="49">
        <v>159520</v>
      </c>
      <c r="U204" s="56">
        <v>4.71</v>
      </c>
      <c r="V204" s="56">
        <v>5.55</v>
      </c>
      <c r="W204" s="1">
        <v>3.4</v>
      </c>
      <c r="X204" s="28">
        <v>2.3239999999999998</v>
      </c>
      <c r="Y204" s="60">
        <v>14.1</v>
      </c>
      <c r="Z204" s="1">
        <v>76</v>
      </c>
      <c r="AA204" s="60">
        <v>1.1000000000000001</v>
      </c>
      <c r="AB204" s="1">
        <v>85</v>
      </c>
      <c r="AC204" s="1">
        <v>52</v>
      </c>
      <c r="AD204" s="1">
        <v>35</v>
      </c>
      <c r="AE204" s="36">
        <v>5.3</v>
      </c>
    </row>
    <row r="205" spans="1:31" x14ac:dyDescent="0.2">
      <c r="A205" s="1">
        <v>21</v>
      </c>
      <c r="B205" s="1" t="s">
        <v>75</v>
      </c>
      <c r="C205" s="28">
        <v>2.4060000000000001</v>
      </c>
      <c r="D205" s="1">
        <v>19</v>
      </c>
      <c r="E205" s="1">
        <v>1</v>
      </c>
      <c r="F205" s="1">
        <v>2</v>
      </c>
      <c r="G205" s="11">
        <v>2.6659999999999999</v>
      </c>
      <c r="H205" s="12">
        <v>1.4870000000000001</v>
      </c>
      <c r="I205" s="13">
        <v>2.6680000000000001</v>
      </c>
      <c r="J205" s="18">
        <f t="shared" si="7"/>
        <v>2.2574089754445383</v>
      </c>
      <c r="K205" s="18">
        <f t="shared" si="6"/>
        <v>6.1758530571679904</v>
      </c>
      <c r="L205" s="33">
        <v>600</v>
      </c>
      <c r="M205" s="1">
        <v>2</v>
      </c>
      <c r="N205" s="38">
        <v>45720</v>
      </c>
      <c r="O205" s="44">
        <v>2245</v>
      </c>
      <c r="P205" s="44">
        <v>3774</v>
      </c>
      <c r="Q205" s="65">
        <v>1.4990000000000001</v>
      </c>
      <c r="R205" s="69">
        <v>1149</v>
      </c>
      <c r="S205" s="74">
        <v>1962</v>
      </c>
      <c r="T205" s="49">
        <v>71590</v>
      </c>
      <c r="U205" s="56">
        <v>4.71</v>
      </c>
      <c r="V205" s="56">
        <v>5.55</v>
      </c>
      <c r="W205" s="1">
        <v>3.4</v>
      </c>
      <c r="X205" s="28">
        <v>2.3239999999999998</v>
      </c>
      <c r="Y205" s="60">
        <v>14.1</v>
      </c>
      <c r="Z205" s="1">
        <v>76</v>
      </c>
      <c r="AA205" s="60">
        <v>1.1000000000000001</v>
      </c>
      <c r="AB205" s="1">
        <v>85</v>
      </c>
      <c r="AC205" s="1">
        <v>52</v>
      </c>
      <c r="AD205" s="1">
        <v>35</v>
      </c>
      <c r="AE205" s="36">
        <v>5.3</v>
      </c>
    </row>
    <row r="206" spans="1:31" x14ac:dyDescent="0.2">
      <c r="A206" s="1">
        <v>21</v>
      </c>
      <c r="B206" s="1" t="s">
        <v>75</v>
      </c>
      <c r="C206" s="28">
        <v>2.4060000000000001</v>
      </c>
      <c r="D206" s="1">
        <v>19</v>
      </c>
      <c r="E206" s="1">
        <v>1</v>
      </c>
      <c r="F206" s="1">
        <v>3</v>
      </c>
      <c r="G206" s="11">
        <v>2.7665000000000002</v>
      </c>
      <c r="H206" s="12">
        <v>1.5429999999999999</v>
      </c>
      <c r="I206" s="13">
        <v>2.77</v>
      </c>
      <c r="J206" s="18">
        <f t="shared" si="7"/>
        <v>2.2546862265688672</v>
      </c>
      <c r="K206" s="18">
        <f t="shared" si="6"/>
        <v>6.28901801459405</v>
      </c>
      <c r="L206" s="33">
        <v>400</v>
      </c>
      <c r="M206" s="1">
        <v>3</v>
      </c>
      <c r="N206" s="38">
        <v>45720</v>
      </c>
      <c r="O206" s="44">
        <v>1515</v>
      </c>
      <c r="P206" s="44">
        <v>3806</v>
      </c>
      <c r="Q206" s="65">
        <v>0.748</v>
      </c>
      <c r="R206" s="69">
        <v>765.5</v>
      </c>
      <c r="S206" s="74">
        <v>1927</v>
      </c>
      <c r="T206" s="49">
        <v>545340</v>
      </c>
      <c r="U206" s="56">
        <v>4.71</v>
      </c>
      <c r="V206" s="56">
        <v>5.55</v>
      </c>
      <c r="W206" s="1">
        <v>3.4</v>
      </c>
      <c r="X206" s="28">
        <v>2.3239999999999998</v>
      </c>
      <c r="Y206" s="60">
        <v>14.1</v>
      </c>
      <c r="Z206" s="1">
        <v>76</v>
      </c>
      <c r="AA206" s="60">
        <v>1.1000000000000001</v>
      </c>
      <c r="AB206" s="1">
        <v>85</v>
      </c>
      <c r="AC206" s="1">
        <v>52</v>
      </c>
      <c r="AD206" s="1">
        <v>35</v>
      </c>
      <c r="AE206" s="36">
        <v>5.3</v>
      </c>
    </row>
    <row r="207" spans="1:31" x14ac:dyDescent="0.2">
      <c r="A207" s="1">
        <v>21</v>
      </c>
      <c r="B207" s="1" t="s">
        <v>75</v>
      </c>
      <c r="C207" s="28">
        <v>2.4060000000000001</v>
      </c>
      <c r="D207" s="1">
        <v>19</v>
      </c>
      <c r="E207" s="5">
        <v>1</v>
      </c>
      <c r="F207" s="5">
        <v>4</v>
      </c>
      <c r="G207" s="14">
        <v>2.613</v>
      </c>
      <c r="H207" s="9">
        <v>1.4524999999999999</v>
      </c>
      <c r="I207" s="15">
        <v>2.6179999999999999</v>
      </c>
      <c r="J207" s="19">
        <f t="shared" si="7"/>
        <v>2.2419562419562418</v>
      </c>
      <c r="K207" s="19">
        <f t="shared" si="6"/>
        <v>6.8181113068893744</v>
      </c>
      <c r="L207" s="41"/>
      <c r="M207" s="5"/>
      <c r="N207" s="42"/>
      <c r="O207" s="47"/>
      <c r="P207" s="47"/>
      <c r="Q207" s="67"/>
      <c r="R207" s="71"/>
      <c r="S207" s="75"/>
      <c r="T207" s="51"/>
      <c r="U207" s="58">
        <v>4.71</v>
      </c>
      <c r="V207" s="58">
        <v>5.55</v>
      </c>
      <c r="W207" s="5">
        <v>3.4</v>
      </c>
      <c r="X207" s="53">
        <v>2.3239999999999998</v>
      </c>
      <c r="Y207" s="62">
        <v>14.1</v>
      </c>
      <c r="Z207" s="5">
        <v>76</v>
      </c>
      <c r="AA207" s="62">
        <v>1.1000000000000001</v>
      </c>
      <c r="AB207" s="5">
        <v>85</v>
      </c>
      <c r="AC207" s="5">
        <v>52</v>
      </c>
      <c r="AD207" s="5">
        <v>35</v>
      </c>
      <c r="AE207" s="43">
        <v>5.3</v>
      </c>
    </row>
    <row r="208" spans="1:31" x14ac:dyDescent="0.2">
      <c r="A208" s="1">
        <v>21</v>
      </c>
      <c r="B208" s="1" t="s">
        <v>76</v>
      </c>
      <c r="C208" s="28">
        <v>2.4060000000000001</v>
      </c>
      <c r="D208" s="1">
        <v>19</v>
      </c>
      <c r="E208" s="26">
        <v>2</v>
      </c>
      <c r="F208" s="26">
        <v>0</v>
      </c>
      <c r="G208" s="21">
        <v>24.027000000000001</v>
      </c>
      <c r="H208" s="22">
        <v>13.476000000000001</v>
      </c>
      <c r="I208" s="23">
        <v>24.282</v>
      </c>
      <c r="J208" s="24">
        <f t="shared" si="7"/>
        <v>2.2234869516935039</v>
      </c>
      <c r="K208" s="24">
        <f t="shared" si="6"/>
        <v>7.5857459811511374</v>
      </c>
      <c r="L208" s="33">
        <v>0</v>
      </c>
      <c r="M208" s="1"/>
      <c r="N208" s="38"/>
      <c r="O208" s="44"/>
      <c r="P208" s="44"/>
      <c r="Q208" s="65"/>
      <c r="R208" s="69"/>
      <c r="S208" s="74"/>
      <c r="T208" s="49"/>
      <c r="U208" s="56">
        <v>4.71</v>
      </c>
      <c r="V208" s="56">
        <v>5.55</v>
      </c>
      <c r="W208" s="1">
        <v>3.4</v>
      </c>
      <c r="X208" s="28">
        <v>2.3239999999999998</v>
      </c>
      <c r="Y208" s="60">
        <v>14.1</v>
      </c>
      <c r="Z208" s="1">
        <v>76</v>
      </c>
      <c r="AA208" s="60">
        <v>1.1000000000000001</v>
      </c>
      <c r="AB208" s="1">
        <v>85</v>
      </c>
      <c r="AC208" s="1">
        <v>52</v>
      </c>
      <c r="AD208" s="1">
        <v>35</v>
      </c>
      <c r="AE208" s="36">
        <v>5.3</v>
      </c>
    </row>
    <row r="209" spans="1:31" x14ac:dyDescent="0.2">
      <c r="A209" s="1">
        <v>21</v>
      </c>
      <c r="B209" s="1" t="s">
        <v>76</v>
      </c>
      <c r="C209" s="28">
        <v>2.4060000000000001</v>
      </c>
      <c r="D209" s="1">
        <v>19</v>
      </c>
      <c r="E209" s="1">
        <v>2</v>
      </c>
      <c r="F209" s="1">
        <v>1</v>
      </c>
      <c r="G209" s="11">
        <v>2.7425000000000002</v>
      </c>
      <c r="H209" s="12">
        <v>1.5335000000000001</v>
      </c>
      <c r="I209" s="13">
        <v>2.746</v>
      </c>
      <c r="J209" s="18">
        <f t="shared" si="7"/>
        <v>2.2618556701030932</v>
      </c>
      <c r="K209" s="18">
        <f t="shared" si="6"/>
        <v>5.9910361553161646</v>
      </c>
      <c r="L209" s="33">
        <v>600</v>
      </c>
      <c r="M209" s="1">
        <v>1</v>
      </c>
      <c r="N209" s="38">
        <v>45721</v>
      </c>
      <c r="O209" s="44">
        <v>2835</v>
      </c>
      <c r="P209" s="44">
        <v>4753</v>
      </c>
      <c r="Q209" s="65">
        <v>1.931</v>
      </c>
      <c r="R209" s="69">
        <v>1403.5</v>
      </c>
      <c r="S209" s="74">
        <v>937</v>
      </c>
      <c r="T209" s="49">
        <v>170000</v>
      </c>
      <c r="U209" s="56">
        <v>4.71</v>
      </c>
      <c r="V209" s="56">
        <v>5.55</v>
      </c>
      <c r="W209" s="1">
        <v>3.4</v>
      </c>
      <c r="X209" s="28">
        <v>2.3239999999999998</v>
      </c>
      <c r="Y209" s="60">
        <v>14.1</v>
      </c>
      <c r="Z209" s="1">
        <v>76</v>
      </c>
      <c r="AA209" s="60">
        <v>1.1000000000000001</v>
      </c>
      <c r="AB209" s="1">
        <v>85</v>
      </c>
      <c r="AC209" s="1">
        <v>52</v>
      </c>
      <c r="AD209" s="1">
        <v>35</v>
      </c>
      <c r="AE209" s="36">
        <v>5.3</v>
      </c>
    </row>
    <row r="210" spans="1:31" x14ac:dyDescent="0.2">
      <c r="A210" s="1">
        <v>21</v>
      </c>
      <c r="B210" s="1" t="s">
        <v>76</v>
      </c>
      <c r="C210" s="28">
        <v>2.4060000000000001</v>
      </c>
      <c r="D210" s="1">
        <v>19</v>
      </c>
      <c r="E210" s="1">
        <v>2</v>
      </c>
      <c r="F210" s="1">
        <v>2</v>
      </c>
      <c r="G210" s="11">
        <v>2.6465000000000001</v>
      </c>
      <c r="H210" s="12">
        <v>1.4735</v>
      </c>
      <c r="I210" s="13">
        <v>2.6515</v>
      </c>
      <c r="J210" s="18">
        <f t="shared" si="7"/>
        <v>2.2466044142614603</v>
      </c>
      <c r="K210" s="18">
        <f t="shared" si="6"/>
        <v>6.6249204380107951</v>
      </c>
      <c r="L210" s="33">
        <v>400</v>
      </c>
      <c r="M210" s="1">
        <v>2</v>
      </c>
      <c r="N210" s="38">
        <v>45722</v>
      </c>
      <c r="O210" s="44">
        <v>1693</v>
      </c>
      <c r="P210" s="44">
        <v>4232</v>
      </c>
      <c r="Q210" s="65">
        <v>0.66100000000000003</v>
      </c>
      <c r="R210" s="69">
        <v>848.3</v>
      </c>
      <c r="S210" s="74">
        <v>2605</v>
      </c>
      <c r="T210" s="49">
        <v>633760</v>
      </c>
      <c r="U210" s="56">
        <v>4.71</v>
      </c>
      <c r="V210" s="56">
        <v>5.55</v>
      </c>
      <c r="W210" s="1">
        <v>3.4</v>
      </c>
      <c r="X210" s="28">
        <v>2.3239999999999998</v>
      </c>
      <c r="Y210" s="60">
        <v>14.1</v>
      </c>
      <c r="Z210" s="1">
        <v>76</v>
      </c>
      <c r="AA210" s="60">
        <v>1.1000000000000001</v>
      </c>
      <c r="AB210" s="1">
        <v>85</v>
      </c>
      <c r="AC210" s="1">
        <v>52</v>
      </c>
      <c r="AD210" s="1">
        <v>35</v>
      </c>
      <c r="AE210" s="36">
        <v>5.3</v>
      </c>
    </row>
    <row r="211" spans="1:31" x14ac:dyDescent="0.2">
      <c r="A211" s="1">
        <v>21</v>
      </c>
      <c r="B211" s="1" t="s">
        <v>76</v>
      </c>
      <c r="C211" s="28">
        <v>2.4060000000000001</v>
      </c>
      <c r="D211" s="1">
        <v>19</v>
      </c>
      <c r="E211" s="1">
        <v>2</v>
      </c>
      <c r="F211" s="1">
        <v>3</v>
      </c>
      <c r="G211" s="11">
        <v>2.7519999999999998</v>
      </c>
      <c r="H211" s="12">
        <v>1.538</v>
      </c>
      <c r="I211" s="13">
        <v>2.7595000000000001</v>
      </c>
      <c r="J211" s="18">
        <f t="shared" si="7"/>
        <v>2.252967662709783</v>
      </c>
      <c r="K211" s="18">
        <f t="shared" si="6"/>
        <v>6.3604462714138439</v>
      </c>
      <c r="L211" s="33">
        <v>400</v>
      </c>
      <c r="M211" s="1">
        <v>3</v>
      </c>
      <c r="N211" s="38">
        <v>45723</v>
      </c>
      <c r="O211" s="44">
        <v>1955</v>
      </c>
      <c r="P211" s="44">
        <v>4879</v>
      </c>
      <c r="Q211" s="65">
        <v>0.71</v>
      </c>
      <c r="R211" s="69">
        <v>975.5</v>
      </c>
      <c r="S211" s="74">
        <v>2905</v>
      </c>
      <c r="T211" s="49">
        <v>302440</v>
      </c>
      <c r="U211" s="56">
        <v>4.71</v>
      </c>
      <c r="V211" s="56">
        <v>5.55</v>
      </c>
      <c r="W211" s="1">
        <v>3.4</v>
      </c>
      <c r="X211" s="28">
        <v>2.3239999999999998</v>
      </c>
      <c r="Y211" s="60">
        <v>14.1</v>
      </c>
      <c r="Z211" s="1">
        <v>76</v>
      </c>
      <c r="AA211" s="60">
        <v>1.1000000000000001</v>
      </c>
      <c r="AB211" s="1">
        <v>85</v>
      </c>
      <c r="AC211" s="1">
        <v>52</v>
      </c>
      <c r="AD211" s="1">
        <v>35</v>
      </c>
      <c r="AE211" s="36">
        <v>5.3</v>
      </c>
    </row>
    <row r="212" spans="1:31" ht="16" thickBot="1" x14ac:dyDescent="0.25">
      <c r="A212" s="1">
        <v>21</v>
      </c>
      <c r="B212" s="1" t="s">
        <v>76</v>
      </c>
      <c r="C212" s="29">
        <v>2.4060000000000001</v>
      </c>
      <c r="D212" s="2">
        <v>19</v>
      </c>
      <c r="E212" s="2">
        <v>2</v>
      </c>
      <c r="F212" s="2">
        <v>4</v>
      </c>
      <c r="G212" s="16">
        <v>2.6240000000000001</v>
      </c>
      <c r="H212" s="10">
        <v>1.4644999999999999</v>
      </c>
      <c r="I212" s="17">
        <v>2.6274999999999999</v>
      </c>
      <c r="J212" s="20">
        <f t="shared" si="7"/>
        <v>2.2562338779019777</v>
      </c>
      <c r="K212" s="20">
        <f t="shared" si="6"/>
        <v>6.2246933540325173</v>
      </c>
      <c r="L212" s="34"/>
      <c r="M212" s="2"/>
      <c r="N212" s="39"/>
      <c r="O212" s="46"/>
      <c r="P212" s="46"/>
      <c r="Q212" s="66"/>
      <c r="R212" s="70"/>
      <c r="S212" s="76"/>
      <c r="T212" s="50"/>
      <c r="U212" s="57">
        <v>4.71</v>
      </c>
      <c r="V212" s="57">
        <v>5.55</v>
      </c>
      <c r="W212" s="2">
        <v>3.4</v>
      </c>
      <c r="X212" s="29">
        <v>2.3239999999999998</v>
      </c>
      <c r="Y212" s="61">
        <v>14.1</v>
      </c>
      <c r="Z212" s="2">
        <v>76</v>
      </c>
      <c r="AA212" s="61">
        <v>1.1000000000000001</v>
      </c>
      <c r="AB212" s="2">
        <v>85</v>
      </c>
      <c r="AC212" s="2">
        <v>52</v>
      </c>
      <c r="AD212" s="2">
        <v>35</v>
      </c>
      <c r="AE212" s="4">
        <v>5.3</v>
      </c>
    </row>
    <row r="213" spans="1:31" x14ac:dyDescent="0.2">
      <c r="A213" s="1">
        <v>22</v>
      </c>
      <c r="B213" s="1" t="s">
        <v>77</v>
      </c>
      <c r="C213" s="28">
        <v>2.39</v>
      </c>
      <c r="D213" s="1">
        <v>19</v>
      </c>
      <c r="E213" s="26">
        <v>1</v>
      </c>
      <c r="F213" s="26">
        <v>0</v>
      </c>
      <c r="G213" s="21">
        <v>24.083500000000001</v>
      </c>
      <c r="H213" s="22">
        <v>13.413500000000001</v>
      </c>
      <c r="I213" s="23">
        <v>24.312000000000001</v>
      </c>
      <c r="J213" s="24">
        <f t="shared" si="7"/>
        <v>2.209799513694545</v>
      </c>
      <c r="K213" s="24">
        <f t="shared" si="6"/>
        <v>7.5397693014834788</v>
      </c>
      <c r="L213" s="33">
        <v>0</v>
      </c>
      <c r="M213" s="1"/>
      <c r="N213" s="38"/>
      <c r="O213" s="44"/>
      <c r="P213" s="44"/>
      <c r="Q213" s="65"/>
      <c r="R213" s="69"/>
      <c r="S213" s="74"/>
      <c r="T213" s="49"/>
      <c r="U213" s="56">
        <v>4.78</v>
      </c>
      <c r="V213" s="56">
        <v>5.76</v>
      </c>
      <c r="W213" s="1">
        <v>3</v>
      </c>
      <c r="X213" s="28">
        <v>2.3180000000000001</v>
      </c>
      <c r="Y213" s="60">
        <v>13.8</v>
      </c>
      <c r="Z213" s="1">
        <v>78</v>
      </c>
      <c r="AA213" s="60">
        <v>1.2</v>
      </c>
      <c r="AB213" s="1">
        <v>86</v>
      </c>
      <c r="AC213" s="1">
        <v>55</v>
      </c>
      <c r="AD213" s="1">
        <v>38</v>
      </c>
      <c r="AE213" s="36">
        <v>5.7</v>
      </c>
    </row>
    <row r="214" spans="1:31" x14ac:dyDescent="0.2">
      <c r="A214" s="1">
        <v>22</v>
      </c>
      <c r="B214" s="1" t="s">
        <v>77</v>
      </c>
      <c r="C214" s="28">
        <v>2.39</v>
      </c>
      <c r="D214" s="1">
        <v>19</v>
      </c>
      <c r="E214" s="1">
        <v>1</v>
      </c>
      <c r="F214" s="1">
        <v>1</v>
      </c>
      <c r="G214" s="11">
        <v>2.6755</v>
      </c>
      <c r="H214" s="12">
        <v>1.4950000000000001</v>
      </c>
      <c r="I214" s="13">
        <v>2.6894999999999998</v>
      </c>
      <c r="J214" s="18">
        <f t="shared" si="7"/>
        <v>2.23984930933445</v>
      </c>
      <c r="K214" s="18">
        <f t="shared" si="6"/>
        <v>6.2824556763828472</v>
      </c>
      <c r="L214" s="33">
        <v>600</v>
      </c>
      <c r="M214" s="1">
        <v>1</v>
      </c>
      <c r="N214" s="38">
        <v>45727</v>
      </c>
      <c r="O214" s="44">
        <v>2540</v>
      </c>
      <c r="P214" s="44">
        <v>4229</v>
      </c>
      <c r="Q214" s="65">
        <v>1.544</v>
      </c>
      <c r="R214" s="69">
        <v>1273</v>
      </c>
      <c r="S214" s="74">
        <v>1442</v>
      </c>
      <c r="T214" s="49">
        <v>48750</v>
      </c>
      <c r="U214" s="56">
        <v>4.78</v>
      </c>
      <c r="V214" s="56">
        <v>5.76</v>
      </c>
      <c r="W214" s="1">
        <v>3</v>
      </c>
      <c r="X214" s="28">
        <v>2.3180000000000001</v>
      </c>
      <c r="Y214" s="60">
        <v>13.8</v>
      </c>
      <c r="Z214" s="1">
        <v>78</v>
      </c>
      <c r="AA214" s="60">
        <v>1.2</v>
      </c>
      <c r="AB214" s="1">
        <v>86</v>
      </c>
      <c r="AC214" s="1">
        <v>55</v>
      </c>
      <c r="AD214" s="1">
        <v>38</v>
      </c>
      <c r="AE214" s="36">
        <v>5.7</v>
      </c>
    </row>
    <row r="215" spans="1:31" x14ac:dyDescent="0.2">
      <c r="A215" s="1">
        <v>22</v>
      </c>
      <c r="B215" s="1" t="s">
        <v>77</v>
      </c>
      <c r="C215" s="28">
        <v>2.39</v>
      </c>
      <c r="D215" s="1">
        <v>19</v>
      </c>
      <c r="E215" s="1">
        <v>1</v>
      </c>
      <c r="F215" s="1">
        <v>2</v>
      </c>
      <c r="G215" s="11">
        <v>2.702</v>
      </c>
      <c r="H215" s="12">
        <v>1.5069999999999999</v>
      </c>
      <c r="I215" s="13">
        <v>2.7120000000000002</v>
      </c>
      <c r="J215" s="18">
        <f t="shared" si="7"/>
        <v>2.2423236514522817</v>
      </c>
      <c r="K215" s="18">
        <f t="shared" si="6"/>
        <v>6.1789267174777613</v>
      </c>
      <c r="L215" s="33">
        <v>600</v>
      </c>
      <c r="M215" s="1">
        <v>2</v>
      </c>
      <c r="N215" s="38">
        <v>45727</v>
      </c>
      <c r="O215" s="44">
        <v>2647</v>
      </c>
      <c r="P215" s="44">
        <v>4410</v>
      </c>
      <c r="Q215" s="65">
        <v>1.5680000000000001</v>
      </c>
      <c r="R215" s="69">
        <v>1331.8</v>
      </c>
      <c r="S215" s="74">
        <v>2626</v>
      </c>
      <c r="T215" s="49">
        <v>74070</v>
      </c>
      <c r="U215" s="56">
        <v>4.78</v>
      </c>
      <c r="V215" s="56">
        <v>5.76</v>
      </c>
      <c r="W215" s="1">
        <v>3</v>
      </c>
      <c r="X215" s="28">
        <v>2.3180000000000001</v>
      </c>
      <c r="Y215" s="60">
        <v>13.8</v>
      </c>
      <c r="Z215" s="1">
        <v>78</v>
      </c>
      <c r="AA215" s="60">
        <v>1.2</v>
      </c>
      <c r="AB215" s="1">
        <v>86</v>
      </c>
      <c r="AC215" s="1">
        <v>55</v>
      </c>
      <c r="AD215" s="1">
        <v>38</v>
      </c>
      <c r="AE215" s="36">
        <v>5.7</v>
      </c>
    </row>
    <row r="216" spans="1:31" x14ac:dyDescent="0.2">
      <c r="A216" s="1">
        <v>22</v>
      </c>
      <c r="B216" s="1" t="s">
        <v>77</v>
      </c>
      <c r="C216" s="28">
        <v>2.39</v>
      </c>
      <c r="D216" s="1">
        <v>19</v>
      </c>
      <c r="E216" s="1">
        <v>1</v>
      </c>
      <c r="F216" s="1">
        <v>3</v>
      </c>
      <c r="G216" s="11">
        <v>2.5525000000000002</v>
      </c>
      <c r="H216" s="12">
        <v>1.419</v>
      </c>
      <c r="I216" s="13">
        <v>2.56</v>
      </c>
      <c r="J216" s="18">
        <f t="shared" si="7"/>
        <v>2.2370727432077127</v>
      </c>
      <c r="K216" s="18">
        <f t="shared" si="6"/>
        <v>6.398629991309102</v>
      </c>
      <c r="L216" s="33">
        <v>400</v>
      </c>
      <c r="M216" s="1">
        <v>3</v>
      </c>
      <c r="N216" s="38">
        <v>45727</v>
      </c>
      <c r="O216" s="44">
        <v>2117</v>
      </c>
      <c r="P216" s="44">
        <v>5294</v>
      </c>
      <c r="Q216" s="65">
        <v>0.72799999999999998</v>
      </c>
      <c r="R216" s="69">
        <v>971.7</v>
      </c>
      <c r="S216" s="74">
        <v>3402</v>
      </c>
      <c r="T216" s="49">
        <v>631520</v>
      </c>
      <c r="U216" s="56">
        <v>4.78</v>
      </c>
      <c r="V216" s="56">
        <v>5.76</v>
      </c>
      <c r="W216" s="1">
        <v>3</v>
      </c>
      <c r="X216" s="28">
        <v>2.3180000000000001</v>
      </c>
      <c r="Y216" s="60">
        <v>13.8</v>
      </c>
      <c r="Z216" s="1">
        <v>78</v>
      </c>
      <c r="AA216" s="60">
        <v>1.2</v>
      </c>
      <c r="AB216" s="1">
        <v>86</v>
      </c>
      <c r="AC216" s="1">
        <v>55</v>
      </c>
      <c r="AD216" s="1">
        <v>38</v>
      </c>
      <c r="AE216" s="36">
        <v>5.7</v>
      </c>
    </row>
    <row r="217" spans="1:31" x14ac:dyDescent="0.2">
      <c r="A217" s="1">
        <v>22</v>
      </c>
      <c r="B217" s="1" t="s">
        <v>77</v>
      </c>
      <c r="C217" s="28">
        <v>2.39</v>
      </c>
      <c r="D217" s="1">
        <v>19</v>
      </c>
      <c r="E217" s="5">
        <v>1</v>
      </c>
      <c r="F217" s="5">
        <v>4</v>
      </c>
      <c r="G217" s="14">
        <v>2.6695000000000002</v>
      </c>
      <c r="H217" s="9">
        <v>1.494</v>
      </c>
      <c r="I217" s="15">
        <v>2.6894999999999998</v>
      </c>
      <c r="J217" s="19">
        <f t="shared" si="7"/>
        <v>2.2329569217900467</v>
      </c>
      <c r="K217" s="19">
        <f t="shared" si="6"/>
        <v>6.5708400924666677</v>
      </c>
      <c r="L217" s="41">
        <v>600</v>
      </c>
      <c r="M217" s="5">
        <v>4</v>
      </c>
      <c r="N217" s="42">
        <v>45728</v>
      </c>
      <c r="O217" s="47">
        <v>3317</v>
      </c>
      <c r="P217" s="47">
        <v>5525</v>
      </c>
      <c r="Q217" s="67">
        <v>1.784</v>
      </c>
      <c r="R217" s="71">
        <v>1606.9</v>
      </c>
      <c r="S217" s="75">
        <v>2962</v>
      </c>
      <c r="T217" s="51">
        <v>89650</v>
      </c>
      <c r="U217" s="58">
        <v>4.78</v>
      </c>
      <c r="V217" s="58">
        <v>5.76</v>
      </c>
      <c r="W217" s="5">
        <v>3</v>
      </c>
      <c r="X217" s="53">
        <v>2.3180000000000001</v>
      </c>
      <c r="Y217" s="62">
        <v>13.8</v>
      </c>
      <c r="Z217" s="5">
        <v>78</v>
      </c>
      <c r="AA217" s="62">
        <v>1.2</v>
      </c>
      <c r="AB217" s="5">
        <v>86</v>
      </c>
      <c r="AC217" s="5">
        <v>55</v>
      </c>
      <c r="AD217" s="5">
        <v>38</v>
      </c>
      <c r="AE217" s="43">
        <v>5.7</v>
      </c>
    </row>
    <row r="218" spans="1:31" x14ac:dyDescent="0.2">
      <c r="A218" s="1">
        <v>22</v>
      </c>
      <c r="B218" s="1" t="s">
        <v>78</v>
      </c>
      <c r="C218" s="28">
        <v>2.39</v>
      </c>
      <c r="D218" s="1">
        <v>19</v>
      </c>
      <c r="E218" s="26">
        <v>2</v>
      </c>
      <c r="F218" s="26">
        <v>0</v>
      </c>
      <c r="G218" s="21">
        <v>24.032</v>
      </c>
      <c r="H218" s="22">
        <v>13.336499999999999</v>
      </c>
      <c r="I218" s="23">
        <v>24.250499999999999</v>
      </c>
      <c r="J218" s="24">
        <f t="shared" si="7"/>
        <v>2.2019424592266814</v>
      </c>
      <c r="K218" s="24">
        <f t="shared" si="6"/>
        <v>7.8685163503480648</v>
      </c>
      <c r="L218" s="33">
        <v>0</v>
      </c>
      <c r="M218" s="1"/>
      <c r="N218" s="38"/>
      <c r="O218" s="44"/>
      <c r="P218" s="44"/>
      <c r="Q218" s="65"/>
      <c r="R218" s="69"/>
      <c r="S218" s="74"/>
      <c r="T218" s="49"/>
      <c r="U218" s="56">
        <v>4.78</v>
      </c>
      <c r="V218" s="56">
        <v>5.76</v>
      </c>
      <c r="W218" s="1">
        <v>3</v>
      </c>
      <c r="X218" s="28">
        <v>2.3180000000000001</v>
      </c>
      <c r="Y218" s="60">
        <v>13.8</v>
      </c>
      <c r="Z218" s="1">
        <v>78</v>
      </c>
      <c r="AA218" s="60">
        <v>1.2</v>
      </c>
      <c r="AB218" s="1">
        <v>86</v>
      </c>
      <c r="AC218" s="1">
        <v>55</v>
      </c>
      <c r="AD218" s="1">
        <v>38</v>
      </c>
      <c r="AE218" s="36">
        <v>5.7</v>
      </c>
    </row>
    <row r="219" spans="1:31" x14ac:dyDescent="0.2">
      <c r="A219" s="1">
        <v>22</v>
      </c>
      <c r="B219" s="1" t="s">
        <v>78</v>
      </c>
      <c r="C219" s="28">
        <v>2.39</v>
      </c>
      <c r="D219" s="1">
        <v>19</v>
      </c>
      <c r="E219" s="1">
        <v>2</v>
      </c>
      <c r="F219" s="1">
        <v>1</v>
      </c>
      <c r="G219" s="11">
        <v>2.6920000000000002</v>
      </c>
      <c r="H219" s="12">
        <v>1.482</v>
      </c>
      <c r="I219" s="13">
        <v>2.7065000000000001</v>
      </c>
      <c r="J219" s="18">
        <f t="shared" si="7"/>
        <v>2.1984483462637812</v>
      </c>
      <c r="K219" s="18">
        <f t="shared" si="6"/>
        <v>8.0147135454484939</v>
      </c>
      <c r="L219" s="33">
        <v>400</v>
      </c>
      <c r="M219" s="1">
        <v>1</v>
      </c>
      <c r="N219" s="38">
        <v>45728</v>
      </c>
      <c r="O219" s="44">
        <v>1758</v>
      </c>
      <c r="P219" s="44">
        <v>4396</v>
      </c>
      <c r="Q219" s="65">
        <v>0.68100000000000005</v>
      </c>
      <c r="R219" s="69">
        <v>872.5</v>
      </c>
      <c r="S219" s="74">
        <v>3025</v>
      </c>
      <c r="T219" s="49">
        <v>749330</v>
      </c>
      <c r="U219" s="56">
        <v>4.78</v>
      </c>
      <c r="V219" s="56">
        <v>5.76</v>
      </c>
      <c r="W219" s="1">
        <v>3</v>
      </c>
      <c r="X219" s="28">
        <v>2.3180000000000001</v>
      </c>
      <c r="Y219" s="60">
        <v>13.8</v>
      </c>
      <c r="Z219" s="1">
        <v>78</v>
      </c>
      <c r="AA219" s="60">
        <v>1.2</v>
      </c>
      <c r="AB219" s="1">
        <v>86</v>
      </c>
      <c r="AC219" s="1">
        <v>55</v>
      </c>
      <c r="AD219" s="1">
        <v>38</v>
      </c>
      <c r="AE219" s="36">
        <v>5.7</v>
      </c>
    </row>
    <row r="220" spans="1:31" x14ac:dyDescent="0.2">
      <c r="A220" s="1">
        <v>22</v>
      </c>
      <c r="B220" s="1" t="s">
        <v>78</v>
      </c>
      <c r="C220" s="28">
        <v>2.39</v>
      </c>
      <c r="D220" s="1">
        <v>19</v>
      </c>
      <c r="E220" s="1">
        <v>2</v>
      </c>
      <c r="F220" s="1">
        <v>2</v>
      </c>
      <c r="G220" s="11">
        <v>2.7065000000000001</v>
      </c>
      <c r="H220" s="12">
        <v>1.502</v>
      </c>
      <c r="I220" s="13">
        <v>2.7214999999999998</v>
      </c>
      <c r="J220" s="18">
        <f t="shared" si="7"/>
        <v>2.2193521935219356</v>
      </c>
      <c r="K220" s="18">
        <f t="shared" si="6"/>
        <v>7.1400755848562536</v>
      </c>
      <c r="L220" s="33">
        <v>400</v>
      </c>
      <c r="M220" s="1">
        <v>2</v>
      </c>
      <c r="N220" s="38">
        <v>45730</v>
      </c>
      <c r="O220" s="44">
        <v>1948</v>
      </c>
      <c r="P220" s="44">
        <v>4879</v>
      </c>
      <c r="Q220" s="65">
        <v>0.622</v>
      </c>
      <c r="R220" s="69">
        <v>949</v>
      </c>
      <c r="S220" s="74">
        <v>2351</v>
      </c>
      <c r="T220" s="49">
        <v>820210</v>
      </c>
      <c r="U220" s="56">
        <v>4.78</v>
      </c>
      <c r="V220" s="56">
        <v>5.76</v>
      </c>
      <c r="W220" s="1">
        <v>3</v>
      </c>
      <c r="X220" s="28">
        <v>2.3180000000000001</v>
      </c>
      <c r="Y220" s="60">
        <v>13.8</v>
      </c>
      <c r="Z220" s="1">
        <v>78</v>
      </c>
      <c r="AA220" s="60">
        <v>1.2</v>
      </c>
      <c r="AB220" s="1">
        <v>86</v>
      </c>
      <c r="AC220" s="1">
        <v>55</v>
      </c>
      <c r="AD220" s="1">
        <v>38</v>
      </c>
      <c r="AE220" s="36">
        <v>5.7</v>
      </c>
    </row>
    <row r="221" spans="1:31" x14ac:dyDescent="0.2">
      <c r="A221" s="1">
        <v>22</v>
      </c>
      <c r="B221" s="1" t="s">
        <v>78</v>
      </c>
      <c r="C221" s="28">
        <v>2.39</v>
      </c>
      <c r="D221" s="1">
        <v>19</v>
      </c>
      <c r="E221" s="1">
        <v>2</v>
      </c>
      <c r="F221" s="1">
        <v>3</v>
      </c>
      <c r="G221" s="11">
        <v>2.62</v>
      </c>
      <c r="H221" s="12">
        <v>1.4575</v>
      </c>
      <c r="I221" s="13">
        <v>2.6345000000000001</v>
      </c>
      <c r="J221" s="18">
        <f t="shared" si="7"/>
        <v>2.225998300764656</v>
      </c>
      <c r="K221" s="18">
        <f t="shared" si="6"/>
        <v>6.8619957839056163</v>
      </c>
      <c r="L221" s="33"/>
      <c r="M221" s="1"/>
      <c r="N221" s="38"/>
      <c r="O221" s="44"/>
      <c r="P221" s="44"/>
      <c r="Q221" s="65"/>
      <c r="R221" s="69"/>
      <c r="S221" s="74"/>
      <c r="T221" s="49"/>
      <c r="U221" s="56">
        <v>4.78</v>
      </c>
      <c r="V221" s="56">
        <v>5.76</v>
      </c>
      <c r="W221" s="1">
        <v>3</v>
      </c>
      <c r="X221" s="28">
        <v>2.3180000000000001</v>
      </c>
      <c r="Y221" s="60">
        <v>13.8</v>
      </c>
      <c r="Z221" s="1">
        <v>78</v>
      </c>
      <c r="AA221" s="60">
        <v>1.2</v>
      </c>
      <c r="AB221" s="1">
        <v>86</v>
      </c>
      <c r="AC221" s="1">
        <v>55</v>
      </c>
      <c r="AD221" s="1">
        <v>38</v>
      </c>
      <c r="AE221" s="36">
        <v>5.7</v>
      </c>
    </row>
    <row r="222" spans="1:31" ht="16" thickBot="1" x14ac:dyDescent="0.25">
      <c r="A222" s="1">
        <v>22</v>
      </c>
      <c r="B222" s="1" t="s">
        <v>78</v>
      </c>
      <c r="C222" s="29">
        <v>2.39</v>
      </c>
      <c r="D222" s="2">
        <v>19</v>
      </c>
      <c r="E222" s="2">
        <v>2</v>
      </c>
      <c r="F222" s="2">
        <v>4</v>
      </c>
      <c r="G222" s="16">
        <v>2.6305000000000001</v>
      </c>
      <c r="H222" s="10">
        <v>1.466</v>
      </c>
      <c r="I222" s="17">
        <v>2.65</v>
      </c>
      <c r="J222" s="20">
        <f t="shared" si="7"/>
        <v>2.2217060810810811</v>
      </c>
      <c r="K222" s="20">
        <f t="shared" si="6"/>
        <v>7.041586565645142</v>
      </c>
      <c r="L222" s="34"/>
      <c r="M222" s="2"/>
      <c r="N222" s="39"/>
      <c r="O222" s="46"/>
      <c r="P222" s="46"/>
      <c r="Q222" s="66"/>
      <c r="R222" s="70"/>
      <c r="S222" s="76"/>
      <c r="T222" s="50"/>
      <c r="U222" s="57">
        <v>4.78</v>
      </c>
      <c r="V222" s="57">
        <v>5.76</v>
      </c>
      <c r="W222" s="2">
        <v>3</v>
      </c>
      <c r="X222" s="29">
        <v>2.3180000000000001</v>
      </c>
      <c r="Y222" s="61">
        <v>13.8</v>
      </c>
      <c r="Z222" s="2">
        <v>78</v>
      </c>
      <c r="AA222" s="61">
        <v>1.2</v>
      </c>
      <c r="AB222" s="2">
        <v>86</v>
      </c>
      <c r="AC222" s="2">
        <v>55</v>
      </c>
      <c r="AD222" s="2">
        <v>38</v>
      </c>
      <c r="AE222" s="4">
        <v>5.7</v>
      </c>
    </row>
    <row r="223" spans="1:31" x14ac:dyDescent="0.2">
      <c r="A223" s="1">
        <v>23</v>
      </c>
      <c r="B223" s="1" t="s">
        <v>79</v>
      </c>
      <c r="C223" s="28">
        <v>2.41</v>
      </c>
      <c r="D223" s="1">
        <v>19</v>
      </c>
      <c r="E223" s="26">
        <v>1</v>
      </c>
      <c r="F223" s="26">
        <v>0</v>
      </c>
      <c r="G223" s="21">
        <v>23.9055</v>
      </c>
      <c r="H223" s="22">
        <v>13.401</v>
      </c>
      <c r="I223" s="23">
        <v>24.184000000000001</v>
      </c>
      <c r="J223" s="24">
        <f t="shared" si="7"/>
        <v>2.2169618844477417</v>
      </c>
      <c r="K223" s="24">
        <f t="shared" si="6"/>
        <v>8.0098803133717205</v>
      </c>
      <c r="L223" s="33">
        <v>0</v>
      </c>
      <c r="M223" s="1"/>
      <c r="N223" s="38"/>
      <c r="O223" s="44"/>
      <c r="P223" s="44"/>
      <c r="Q223" s="65"/>
      <c r="R223" s="69"/>
      <c r="S223" s="74"/>
      <c r="T223" s="49"/>
      <c r="U223" s="56">
        <v>4.45</v>
      </c>
      <c r="V223" s="56">
        <v>5.47</v>
      </c>
      <c r="W223" s="1">
        <v>3.3</v>
      </c>
      <c r="X223" s="28">
        <v>2.3290000000000002</v>
      </c>
      <c r="Y223" s="60">
        <v>13.5</v>
      </c>
      <c r="Z223" s="1">
        <v>75</v>
      </c>
      <c r="AA223" s="60">
        <v>1.2</v>
      </c>
      <c r="AB223" s="1">
        <v>85</v>
      </c>
      <c r="AC223" s="1">
        <v>53</v>
      </c>
      <c r="AD223" s="1">
        <v>36</v>
      </c>
      <c r="AE223" s="36">
        <v>5.4</v>
      </c>
    </row>
    <row r="224" spans="1:31" x14ac:dyDescent="0.2">
      <c r="A224" s="1">
        <v>23</v>
      </c>
      <c r="B224" s="1" t="s">
        <v>79</v>
      </c>
      <c r="C224" s="28">
        <v>2.41</v>
      </c>
      <c r="D224" s="1">
        <v>19</v>
      </c>
      <c r="E224" s="1">
        <v>1</v>
      </c>
      <c r="F224" s="1">
        <v>1</v>
      </c>
      <c r="G224" s="11">
        <v>2.6760000000000002</v>
      </c>
      <c r="H224" s="12">
        <v>1.486</v>
      </c>
      <c r="I224" s="13">
        <v>2.6825000000000001</v>
      </c>
      <c r="J224" s="18">
        <f>+IF(G224=0,"",G224/(I224-H224))</f>
        <v>2.2365231926452149</v>
      </c>
      <c r="K224" s="18">
        <f t="shared" si="6"/>
        <v>7.1982077740574741</v>
      </c>
      <c r="L224" s="33">
        <v>600</v>
      </c>
      <c r="M224" s="1">
        <v>1</v>
      </c>
      <c r="N224" s="38">
        <v>45731</v>
      </c>
      <c r="O224" s="44">
        <v>2119</v>
      </c>
      <c r="P224" s="44">
        <v>3541</v>
      </c>
      <c r="Q224" s="65">
        <v>1.37</v>
      </c>
      <c r="R224" s="69">
        <v>1099.5999999999999</v>
      </c>
      <c r="S224" s="74">
        <v>1057</v>
      </c>
      <c r="T224" s="49">
        <v>130000</v>
      </c>
      <c r="U224" s="56">
        <v>4.45</v>
      </c>
      <c r="V224" s="56">
        <v>5.47</v>
      </c>
      <c r="W224" s="1">
        <v>3.3</v>
      </c>
      <c r="X224" s="28">
        <v>2.3290000000000002</v>
      </c>
      <c r="Y224" s="60">
        <v>13.5</v>
      </c>
      <c r="Z224" s="1">
        <v>75</v>
      </c>
      <c r="AA224" s="60">
        <v>1.2</v>
      </c>
      <c r="AB224" s="1">
        <v>85</v>
      </c>
      <c r="AC224" s="1">
        <v>53</v>
      </c>
      <c r="AD224" s="1">
        <v>36</v>
      </c>
      <c r="AE224" s="36">
        <v>5.4</v>
      </c>
    </row>
    <row r="225" spans="1:31" x14ac:dyDescent="0.2">
      <c r="A225" s="1">
        <v>23</v>
      </c>
      <c r="B225" s="1" t="s">
        <v>79</v>
      </c>
      <c r="C225" s="28">
        <v>2.41</v>
      </c>
      <c r="D225" s="1">
        <v>19</v>
      </c>
      <c r="E225" s="1">
        <v>1</v>
      </c>
      <c r="F225" s="1">
        <v>2</v>
      </c>
      <c r="G225" s="11">
        <v>2.653</v>
      </c>
      <c r="H225" s="12">
        <v>1.4764999999999999</v>
      </c>
      <c r="I225" s="13">
        <v>2.6589999999999998</v>
      </c>
      <c r="J225" s="18">
        <f>+IF(G225=0,"",G225/(I225-H225))</f>
        <v>2.2435517970401695</v>
      </c>
      <c r="K225" s="18">
        <f t="shared" si="6"/>
        <v>6.9065644381672513</v>
      </c>
      <c r="L225" s="33">
        <v>600</v>
      </c>
      <c r="M225" s="1">
        <v>2</v>
      </c>
      <c r="N225" s="38">
        <v>45732</v>
      </c>
      <c r="O225" s="44">
        <v>2989</v>
      </c>
      <c r="P225" s="44">
        <v>4989</v>
      </c>
      <c r="Q225" s="65">
        <v>1.575</v>
      </c>
      <c r="R225" s="69">
        <v>1386.1</v>
      </c>
      <c r="S225" s="74">
        <v>1479</v>
      </c>
      <c r="T225" s="49">
        <v>31970</v>
      </c>
      <c r="U225" s="56">
        <v>4.45</v>
      </c>
      <c r="V225" s="56">
        <v>5.47</v>
      </c>
      <c r="W225" s="1">
        <v>3.3</v>
      </c>
      <c r="X225" s="28">
        <v>2.3290000000000002</v>
      </c>
      <c r="Y225" s="60">
        <v>13.5</v>
      </c>
      <c r="Z225" s="1">
        <v>75</v>
      </c>
      <c r="AA225" s="60">
        <v>1.2</v>
      </c>
      <c r="AB225" s="1">
        <v>85</v>
      </c>
      <c r="AC225" s="1">
        <v>53</v>
      </c>
      <c r="AD225" s="1">
        <v>36</v>
      </c>
      <c r="AE225" s="36">
        <v>5.4</v>
      </c>
    </row>
    <row r="226" spans="1:31" x14ac:dyDescent="0.2">
      <c r="A226" s="1">
        <v>23</v>
      </c>
      <c r="B226" s="1" t="s">
        <v>79</v>
      </c>
      <c r="C226" s="28">
        <v>2.41</v>
      </c>
      <c r="D226" s="1">
        <v>19</v>
      </c>
      <c r="E226" s="1">
        <v>1</v>
      </c>
      <c r="F226" s="1">
        <v>3</v>
      </c>
      <c r="G226" s="11">
        <v>2.7052</v>
      </c>
      <c r="H226" s="12">
        <v>1.5145</v>
      </c>
      <c r="I226" s="13">
        <v>2.7160000000000002</v>
      </c>
      <c r="J226" s="18">
        <f>+IF(G226=0,"",G226/(I226-H226))</f>
        <v>2.2515189346650017</v>
      </c>
      <c r="K226" s="18">
        <f t="shared" si="6"/>
        <v>6.5759778147302272</v>
      </c>
      <c r="L226" s="33">
        <v>600</v>
      </c>
      <c r="M226" s="1">
        <v>3</v>
      </c>
      <c r="N226" s="38">
        <v>45732</v>
      </c>
      <c r="O226" s="44">
        <v>2922</v>
      </c>
      <c r="P226" s="44">
        <v>4871</v>
      </c>
      <c r="Q226" s="65">
        <v>1.5449999999999999</v>
      </c>
      <c r="R226" s="69">
        <v>1449</v>
      </c>
      <c r="S226" s="74">
        <v>1459</v>
      </c>
      <c r="T226" s="49">
        <v>21250</v>
      </c>
      <c r="U226" s="56">
        <v>4.45</v>
      </c>
      <c r="V226" s="56">
        <v>5.47</v>
      </c>
      <c r="W226" s="1">
        <v>3.3</v>
      </c>
      <c r="X226" s="28">
        <v>2.3290000000000002</v>
      </c>
      <c r="Y226" s="60">
        <v>13.5</v>
      </c>
      <c r="Z226" s="1">
        <v>75</v>
      </c>
      <c r="AA226" s="60">
        <v>1.2</v>
      </c>
      <c r="AB226" s="1">
        <v>85</v>
      </c>
      <c r="AC226" s="1">
        <v>53</v>
      </c>
      <c r="AD226" s="1">
        <v>36</v>
      </c>
      <c r="AE226" s="36">
        <v>5.4</v>
      </c>
    </row>
    <row r="227" spans="1:31" x14ac:dyDescent="0.2">
      <c r="A227" s="1">
        <v>23</v>
      </c>
      <c r="B227" s="1" t="s">
        <v>79</v>
      </c>
      <c r="C227" s="28">
        <v>2.41</v>
      </c>
      <c r="D227" s="1">
        <v>19</v>
      </c>
      <c r="E227" s="5">
        <v>1</v>
      </c>
      <c r="F227" s="5">
        <v>4</v>
      </c>
      <c r="G227" s="14">
        <v>2.6739999999999999</v>
      </c>
      <c r="H227" s="9">
        <v>1.49</v>
      </c>
      <c r="I227" s="15">
        <v>2.681</v>
      </c>
      <c r="J227" s="19">
        <f>+IF(G227=0,"",G227/(I227-H227))</f>
        <v>2.2451721242653231</v>
      </c>
      <c r="K227" s="19">
        <f t="shared" si="6"/>
        <v>6.8393309433475995</v>
      </c>
      <c r="L227" s="41">
        <v>400</v>
      </c>
      <c r="M227" s="5">
        <v>4</v>
      </c>
      <c r="N227" s="42">
        <v>45732</v>
      </c>
      <c r="O227" s="47">
        <v>1922</v>
      </c>
      <c r="P227" s="47">
        <v>4797</v>
      </c>
      <c r="Q227" s="67">
        <v>0.69299999999999995</v>
      </c>
      <c r="R227" s="71">
        <v>955.3</v>
      </c>
      <c r="S227" s="75">
        <v>1428</v>
      </c>
      <c r="T227" s="51">
        <v>575000</v>
      </c>
      <c r="U227" s="58">
        <v>4.45</v>
      </c>
      <c r="V227" s="58">
        <v>5.47</v>
      </c>
      <c r="W227" s="5">
        <v>3.3</v>
      </c>
      <c r="X227" s="53">
        <v>2.3290000000000002</v>
      </c>
      <c r="Y227" s="62">
        <v>13.5</v>
      </c>
      <c r="Z227" s="5">
        <v>75</v>
      </c>
      <c r="AA227" s="62">
        <v>1.2</v>
      </c>
      <c r="AB227" s="5">
        <v>85</v>
      </c>
      <c r="AC227" s="5">
        <v>53</v>
      </c>
      <c r="AD227" s="5">
        <v>36</v>
      </c>
      <c r="AE227" s="43">
        <v>5.4</v>
      </c>
    </row>
    <row r="228" spans="1:31" x14ac:dyDescent="0.2">
      <c r="A228" s="1">
        <v>23</v>
      </c>
      <c r="B228" s="1" t="s">
        <v>80</v>
      </c>
      <c r="C228" s="28">
        <v>2.41</v>
      </c>
      <c r="D228" s="1">
        <v>19</v>
      </c>
      <c r="E228" s="26">
        <v>2</v>
      </c>
      <c r="F228" s="26">
        <v>0</v>
      </c>
      <c r="G228" s="21">
        <v>23.919499999999999</v>
      </c>
      <c r="H228" s="22">
        <v>13.4405</v>
      </c>
      <c r="I228" s="23">
        <v>24.207999999999998</v>
      </c>
      <c r="J228" s="24">
        <f t="shared" si="7"/>
        <v>2.2214534478755517</v>
      </c>
      <c r="K228" s="24">
        <f t="shared" si="6"/>
        <v>7.8235083869065747</v>
      </c>
      <c r="L228" s="33">
        <v>0</v>
      </c>
      <c r="M228" s="1"/>
      <c r="N228" s="38"/>
      <c r="O228" s="44"/>
      <c r="P228" s="44"/>
      <c r="Q228" s="65"/>
      <c r="R228" s="69"/>
      <c r="S228" s="74"/>
      <c r="T228" s="49"/>
      <c r="U228" s="56">
        <v>4.45</v>
      </c>
      <c r="V228" s="56">
        <v>5.47</v>
      </c>
      <c r="W228" s="1">
        <v>3.3</v>
      </c>
      <c r="X228" s="28">
        <v>2.3290000000000002</v>
      </c>
      <c r="Y228" s="60">
        <v>13.5</v>
      </c>
      <c r="Z228" s="1">
        <v>75</v>
      </c>
      <c r="AA228" s="60">
        <v>1.2</v>
      </c>
      <c r="AB228" s="1">
        <v>85</v>
      </c>
      <c r="AC228" s="1">
        <v>53</v>
      </c>
      <c r="AD228" s="1">
        <v>36</v>
      </c>
      <c r="AE228" s="36">
        <v>5.4</v>
      </c>
    </row>
    <row r="229" spans="1:31" x14ac:dyDescent="0.2">
      <c r="A229" s="1">
        <v>23</v>
      </c>
      <c r="B229" s="1" t="s">
        <v>80</v>
      </c>
      <c r="C229" s="28">
        <v>2.41</v>
      </c>
      <c r="D229" s="1">
        <v>19</v>
      </c>
      <c r="E229" s="1">
        <v>2</v>
      </c>
      <c r="F229" s="1">
        <v>1</v>
      </c>
      <c r="G229" s="11">
        <v>2.6905000000000001</v>
      </c>
      <c r="H229" s="12">
        <v>1.502</v>
      </c>
      <c r="I229" s="13">
        <v>2.6945000000000001</v>
      </c>
      <c r="J229" s="18">
        <f t="shared" si="7"/>
        <v>2.2561844863731655</v>
      </c>
      <c r="K229" s="18">
        <f t="shared" si="6"/>
        <v>6.3823864575450084</v>
      </c>
      <c r="L229" s="33">
        <v>400</v>
      </c>
      <c r="M229" s="1">
        <v>1</v>
      </c>
      <c r="N229" s="38">
        <v>45733</v>
      </c>
      <c r="O229" s="44">
        <v>1714</v>
      </c>
      <c r="P229" s="44">
        <v>4292</v>
      </c>
      <c r="Q229" s="65">
        <v>0.61399999999999999</v>
      </c>
      <c r="R229" s="69">
        <v>834.4</v>
      </c>
      <c r="S229" s="74">
        <v>1286</v>
      </c>
      <c r="T229" s="49">
        <v>550000</v>
      </c>
      <c r="U229" s="56">
        <v>4.45</v>
      </c>
      <c r="V229" s="56">
        <v>5.47</v>
      </c>
      <c r="W229" s="1">
        <v>3.3</v>
      </c>
      <c r="X229" s="28">
        <v>2.3290000000000002</v>
      </c>
      <c r="Y229" s="60">
        <v>13.5</v>
      </c>
      <c r="Z229" s="1">
        <v>75</v>
      </c>
      <c r="AA229" s="60">
        <v>1.2</v>
      </c>
      <c r="AB229" s="1">
        <v>85</v>
      </c>
      <c r="AC229" s="1">
        <v>53</v>
      </c>
      <c r="AD229" s="1">
        <v>36</v>
      </c>
      <c r="AE229" s="36">
        <v>5.4</v>
      </c>
    </row>
    <row r="230" spans="1:31" x14ac:dyDescent="0.2">
      <c r="A230" s="1">
        <v>23</v>
      </c>
      <c r="B230" s="1" t="s">
        <v>80</v>
      </c>
      <c r="C230" s="28">
        <v>2.41</v>
      </c>
      <c r="D230" s="1">
        <v>19</v>
      </c>
      <c r="E230" s="1">
        <v>2</v>
      </c>
      <c r="F230" s="1">
        <v>2</v>
      </c>
      <c r="G230" s="11">
        <v>2.6549999999999998</v>
      </c>
      <c r="H230" s="12">
        <v>1.4810000000000001</v>
      </c>
      <c r="I230" s="13">
        <v>2.6595</v>
      </c>
      <c r="J230" s="18">
        <f t="shared" si="7"/>
        <v>2.2528638099278746</v>
      </c>
      <c r="K230" s="18">
        <f t="shared" si="6"/>
        <v>6.5201738619139249</v>
      </c>
      <c r="L230" s="33">
        <v>400</v>
      </c>
      <c r="M230" s="1">
        <v>2</v>
      </c>
      <c r="N230" s="38">
        <v>45734</v>
      </c>
      <c r="O230" s="44">
        <v>2257</v>
      </c>
      <c r="P230" s="44">
        <v>5661</v>
      </c>
      <c r="Q230" s="65">
        <v>0.69</v>
      </c>
      <c r="R230" s="69">
        <v>1134.3</v>
      </c>
      <c r="S230" s="74">
        <v>2750</v>
      </c>
      <c r="T230" s="49">
        <v>275000</v>
      </c>
      <c r="U230" s="56">
        <v>4.45</v>
      </c>
      <c r="V230" s="56">
        <v>5.47</v>
      </c>
      <c r="W230" s="1">
        <v>3.3</v>
      </c>
      <c r="X230" s="28">
        <v>2.3290000000000002</v>
      </c>
      <c r="Y230" s="60">
        <v>13.5</v>
      </c>
      <c r="Z230" s="1">
        <v>75</v>
      </c>
      <c r="AA230" s="60">
        <v>1.2</v>
      </c>
      <c r="AB230" s="1">
        <v>85</v>
      </c>
      <c r="AC230" s="1">
        <v>53</v>
      </c>
      <c r="AD230" s="1">
        <v>36</v>
      </c>
      <c r="AE230" s="36">
        <v>5.4</v>
      </c>
    </row>
    <row r="231" spans="1:31" x14ac:dyDescent="0.2">
      <c r="A231" s="1">
        <v>23</v>
      </c>
      <c r="B231" s="1" t="s">
        <v>80</v>
      </c>
      <c r="C231" s="28">
        <v>2.41</v>
      </c>
      <c r="D231" s="1">
        <v>19</v>
      </c>
      <c r="E231" s="1">
        <v>2</v>
      </c>
      <c r="F231" s="1">
        <v>3</v>
      </c>
      <c r="G231" s="11">
        <v>2.67</v>
      </c>
      <c r="H231" s="12">
        <v>1.4955000000000001</v>
      </c>
      <c r="I231" s="13">
        <v>2.6735000000000002</v>
      </c>
      <c r="J231" s="18">
        <f t="shared" si="7"/>
        <v>2.2665534804753817</v>
      </c>
      <c r="K231" s="18">
        <f t="shared" si="6"/>
        <v>5.9521377396107189</v>
      </c>
      <c r="L231" s="33">
        <v>400</v>
      </c>
      <c r="M231" s="1">
        <v>3</v>
      </c>
      <c r="N231" s="38">
        <v>45735</v>
      </c>
      <c r="O231" s="44">
        <v>2505</v>
      </c>
      <c r="P231" s="44">
        <v>6268</v>
      </c>
      <c r="Q231" s="65">
        <v>0.82099999999999995</v>
      </c>
      <c r="R231" s="69">
        <v>1239.7</v>
      </c>
      <c r="S231" s="74">
        <v>2864</v>
      </c>
      <c r="T231" s="49">
        <v>673760</v>
      </c>
      <c r="U231" s="56">
        <v>4.45</v>
      </c>
      <c r="V231" s="56">
        <v>5.47</v>
      </c>
      <c r="W231" s="1">
        <v>3.3</v>
      </c>
      <c r="X231" s="28">
        <v>2.3290000000000002</v>
      </c>
      <c r="Y231" s="60">
        <v>13.5</v>
      </c>
      <c r="Z231" s="1">
        <v>75</v>
      </c>
      <c r="AA231" s="60">
        <v>1.2</v>
      </c>
      <c r="AB231" s="1">
        <v>85</v>
      </c>
      <c r="AC231" s="1">
        <v>53</v>
      </c>
      <c r="AD231" s="1">
        <v>36</v>
      </c>
      <c r="AE231" s="36">
        <v>5.4</v>
      </c>
    </row>
    <row r="232" spans="1:31" ht="16" thickBot="1" x14ac:dyDescent="0.25">
      <c r="A232" s="1">
        <v>23</v>
      </c>
      <c r="B232" s="1" t="s">
        <v>80</v>
      </c>
      <c r="C232" s="29">
        <v>2.41</v>
      </c>
      <c r="D232" s="2">
        <v>19</v>
      </c>
      <c r="E232" s="2">
        <v>2</v>
      </c>
      <c r="F232" s="2">
        <v>4</v>
      </c>
      <c r="G232" s="16">
        <v>2.7635000000000001</v>
      </c>
      <c r="H232" s="10">
        <v>1.5425</v>
      </c>
      <c r="I232" s="17">
        <v>2.7694999999999999</v>
      </c>
      <c r="J232" s="20">
        <f t="shared" si="7"/>
        <v>2.2522412387938062</v>
      </c>
      <c r="K232" s="20">
        <f t="shared" si="6"/>
        <v>6.5460066890536854</v>
      </c>
      <c r="L232" s="34">
        <v>600</v>
      </c>
      <c r="M232" s="2">
        <v>4</v>
      </c>
      <c r="N232" s="39">
        <v>45735</v>
      </c>
      <c r="O232" s="46">
        <v>2826</v>
      </c>
      <c r="P232" s="46">
        <v>4726</v>
      </c>
      <c r="Q232" s="66">
        <v>1.6180000000000001</v>
      </c>
      <c r="R232" s="70">
        <v>1335.6</v>
      </c>
      <c r="S232" s="76">
        <v>1813</v>
      </c>
      <c r="T232" s="50">
        <v>62830</v>
      </c>
      <c r="U232" s="57">
        <v>4.45</v>
      </c>
      <c r="V232" s="57">
        <v>5.47</v>
      </c>
      <c r="W232" s="2">
        <v>3.3</v>
      </c>
      <c r="X232" s="29">
        <v>2.3290000000000002</v>
      </c>
      <c r="Y232" s="61">
        <v>13.5</v>
      </c>
      <c r="Z232" s="2">
        <v>75</v>
      </c>
      <c r="AA232" s="61">
        <v>1.2</v>
      </c>
      <c r="AB232" s="2">
        <v>85</v>
      </c>
      <c r="AC232" s="2">
        <v>53</v>
      </c>
      <c r="AD232" s="2">
        <v>36</v>
      </c>
      <c r="AE232" s="4">
        <v>5.4</v>
      </c>
    </row>
    <row r="233" spans="1:31" x14ac:dyDescent="0.2">
      <c r="A233" s="1">
        <v>24</v>
      </c>
      <c r="B233" s="1" t="s">
        <v>81</v>
      </c>
      <c r="C233" s="28">
        <v>2.4060000000000001</v>
      </c>
      <c r="D233" s="1">
        <v>19</v>
      </c>
      <c r="E233" s="26">
        <v>1</v>
      </c>
      <c r="F233" s="26">
        <v>0</v>
      </c>
      <c r="G233" s="21">
        <v>24.115500000000001</v>
      </c>
      <c r="H233" s="22">
        <v>13.566000000000001</v>
      </c>
      <c r="I233" s="23">
        <v>24.421500000000002</v>
      </c>
      <c r="J233" s="24">
        <f t="shared" si="7"/>
        <v>2.2215006218046152</v>
      </c>
      <c r="K233" s="24">
        <f t="shared" si="6"/>
        <v>7.668303333141524</v>
      </c>
      <c r="L233" s="33">
        <v>0</v>
      </c>
      <c r="M233" s="1"/>
      <c r="N233" s="38"/>
      <c r="O233" s="44"/>
      <c r="P233" s="44"/>
      <c r="Q233" s="65"/>
      <c r="R233" s="69"/>
      <c r="S233" s="74"/>
      <c r="T233" s="49"/>
      <c r="U233" s="56">
        <v>4.47</v>
      </c>
      <c r="V233" s="56">
        <v>5.36</v>
      </c>
      <c r="W233" s="1">
        <v>3.6</v>
      </c>
      <c r="X233" s="28">
        <v>2.3180000000000001</v>
      </c>
      <c r="Y233" s="60">
        <v>13.8</v>
      </c>
      <c r="Z233" s="1">
        <v>74</v>
      </c>
      <c r="AA233" s="60">
        <v>1.2</v>
      </c>
      <c r="AB233" s="1">
        <v>84</v>
      </c>
      <c r="AC233" s="1">
        <v>52</v>
      </c>
      <c r="AD233" s="1">
        <v>35</v>
      </c>
      <c r="AE233" s="36">
        <v>5.2</v>
      </c>
    </row>
    <row r="234" spans="1:31" x14ac:dyDescent="0.2">
      <c r="A234" s="1">
        <v>24</v>
      </c>
      <c r="B234" s="1" t="s">
        <v>81</v>
      </c>
      <c r="C234" s="28">
        <v>2.4060000000000001</v>
      </c>
      <c r="D234" s="1">
        <v>19</v>
      </c>
      <c r="E234" s="1">
        <v>1</v>
      </c>
      <c r="F234" s="1">
        <v>1</v>
      </c>
      <c r="G234" s="11">
        <v>2.6160000000000001</v>
      </c>
      <c r="H234" s="12">
        <v>1.4644999999999999</v>
      </c>
      <c r="I234" s="13">
        <v>2.6375000000000002</v>
      </c>
      <c r="J234" s="18">
        <f t="shared" si="7"/>
        <v>2.2301790281329921</v>
      </c>
      <c r="K234" s="18">
        <f t="shared" si="6"/>
        <v>7.3076048157526223</v>
      </c>
      <c r="L234" s="33">
        <v>600</v>
      </c>
      <c r="M234" s="1">
        <v>1</v>
      </c>
      <c r="N234" s="38">
        <v>45735</v>
      </c>
      <c r="O234" s="44">
        <v>2898</v>
      </c>
      <c r="P234" s="44">
        <v>4823</v>
      </c>
      <c r="Q234" s="65">
        <v>1.593</v>
      </c>
      <c r="R234" s="69">
        <v>1396.2</v>
      </c>
      <c r="S234" s="74">
        <v>1433</v>
      </c>
      <c r="T234" s="49">
        <v>100000</v>
      </c>
      <c r="U234" s="56">
        <v>4.47</v>
      </c>
      <c r="V234" s="56">
        <v>5.36</v>
      </c>
      <c r="W234" s="1">
        <v>3.6</v>
      </c>
      <c r="X234" s="28">
        <v>2.3180000000000001</v>
      </c>
      <c r="Y234" s="60">
        <v>13.8</v>
      </c>
      <c r="Z234" s="1">
        <v>74</v>
      </c>
      <c r="AA234" s="60">
        <v>1.2</v>
      </c>
      <c r="AB234" s="1">
        <v>84</v>
      </c>
      <c r="AC234" s="1">
        <v>52</v>
      </c>
      <c r="AD234" s="1">
        <v>35</v>
      </c>
      <c r="AE234" s="36">
        <v>5.2</v>
      </c>
    </row>
    <row r="235" spans="1:31" x14ac:dyDescent="0.2">
      <c r="A235" s="1">
        <v>24</v>
      </c>
      <c r="B235" s="1" t="s">
        <v>81</v>
      </c>
      <c r="C235" s="28">
        <v>2.4060000000000001</v>
      </c>
      <c r="D235" s="1">
        <v>19</v>
      </c>
      <c r="E235" s="1">
        <v>1</v>
      </c>
      <c r="F235" s="1">
        <v>2</v>
      </c>
      <c r="G235" s="11">
        <v>2.5459999999999998</v>
      </c>
      <c r="H235" s="12">
        <v>1.417</v>
      </c>
      <c r="I235" s="13">
        <v>2.5575000000000001</v>
      </c>
      <c r="J235" s="18">
        <f t="shared" si="7"/>
        <v>2.2323542306006137</v>
      </c>
      <c r="K235" s="18">
        <f t="shared" si="6"/>
        <v>7.2171973981457356</v>
      </c>
      <c r="L235" s="33">
        <v>600</v>
      </c>
      <c r="M235" s="1">
        <v>2</v>
      </c>
      <c r="N235" s="38">
        <v>45735</v>
      </c>
      <c r="O235" s="44">
        <v>2757</v>
      </c>
      <c r="P235" s="44">
        <v>4601</v>
      </c>
      <c r="Q235" s="65">
        <v>1.57</v>
      </c>
      <c r="R235" s="69">
        <v>1312.1</v>
      </c>
      <c r="S235" s="74">
        <v>1374</v>
      </c>
      <c r="T235" s="49">
        <v>27500</v>
      </c>
      <c r="U235" s="56">
        <v>4.47</v>
      </c>
      <c r="V235" s="56">
        <v>5.36</v>
      </c>
      <c r="W235" s="1">
        <v>3.6</v>
      </c>
      <c r="X235" s="28">
        <v>2.3180000000000001</v>
      </c>
      <c r="Y235" s="60">
        <v>13.8</v>
      </c>
      <c r="Z235" s="1">
        <v>74</v>
      </c>
      <c r="AA235" s="60">
        <v>1.2</v>
      </c>
      <c r="AB235" s="1">
        <v>84</v>
      </c>
      <c r="AC235" s="1">
        <v>52</v>
      </c>
      <c r="AD235" s="1">
        <v>35</v>
      </c>
      <c r="AE235" s="36">
        <v>5.2</v>
      </c>
    </row>
    <row r="236" spans="1:31" x14ac:dyDescent="0.2">
      <c r="A236" s="1">
        <v>24</v>
      </c>
      <c r="B236" s="1" t="s">
        <v>81</v>
      </c>
      <c r="C236" s="28">
        <v>2.4060000000000001</v>
      </c>
      <c r="D236" s="1">
        <v>19</v>
      </c>
      <c r="E236" s="1">
        <v>1</v>
      </c>
      <c r="F236" s="1">
        <v>3</v>
      </c>
      <c r="G236" s="11">
        <v>2.6884999999999999</v>
      </c>
      <c r="H236" s="12">
        <v>1.504</v>
      </c>
      <c r="I236" s="13">
        <v>2.706</v>
      </c>
      <c r="J236" s="18">
        <f t="shared" si="7"/>
        <v>2.2366888519134775</v>
      </c>
      <c r="K236" s="18">
        <f t="shared" si="6"/>
        <v>7.0370385738371848</v>
      </c>
      <c r="L236" s="33">
        <v>400</v>
      </c>
      <c r="M236" s="1">
        <v>3</v>
      </c>
      <c r="N236" s="38">
        <v>45735</v>
      </c>
      <c r="O236" s="44">
        <v>1776</v>
      </c>
      <c r="P236" s="44">
        <v>4436</v>
      </c>
      <c r="Q236" s="65">
        <v>0.68</v>
      </c>
      <c r="R236" s="69">
        <v>880.5</v>
      </c>
      <c r="S236" s="74">
        <v>1329</v>
      </c>
      <c r="T236" s="49">
        <v>300000</v>
      </c>
      <c r="U236" s="56">
        <v>4.47</v>
      </c>
      <c r="V236" s="56">
        <v>5.36</v>
      </c>
      <c r="W236" s="1">
        <v>3.6</v>
      </c>
      <c r="X236" s="28">
        <v>2.3180000000000001</v>
      </c>
      <c r="Y236" s="60">
        <v>13.8</v>
      </c>
      <c r="Z236" s="1">
        <v>74</v>
      </c>
      <c r="AA236" s="60">
        <v>1.2</v>
      </c>
      <c r="AB236" s="1">
        <v>84</v>
      </c>
      <c r="AC236" s="1">
        <v>52</v>
      </c>
      <c r="AD236" s="1">
        <v>35</v>
      </c>
      <c r="AE236" s="36">
        <v>5.2</v>
      </c>
    </row>
    <row r="237" spans="1:31" x14ac:dyDescent="0.2">
      <c r="A237" s="1">
        <v>24</v>
      </c>
      <c r="B237" s="1" t="s">
        <v>81</v>
      </c>
      <c r="C237" s="28">
        <v>2.4060000000000001</v>
      </c>
      <c r="D237" s="1">
        <v>19</v>
      </c>
      <c r="E237" s="5">
        <v>1</v>
      </c>
      <c r="F237" s="5">
        <v>4</v>
      </c>
      <c r="G237" s="14">
        <v>2.6225000000000001</v>
      </c>
      <c r="H237" s="9">
        <v>1.4544999999999999</v>
      </c>
      <c r="I237" s="15">
        <v>2.6339999999999999</v>
      </c>
      <c r="J237" s="19">
        <f t="shared" si="7"/>
        <v>2.2233997456549388</v>
      </c>
      <c r="K237" s="19">
        <f t="shared" si="6"/>
        <v>7.5893705047822664</v>
      </c>
      <c r="L237" s="41">
        <v>400</v>
      </c>
      <c r="M237" s="5">
        <v>4</v>
      </c>
      <c r="N237" s="42">
        <v>45736</v>
      </c>
      <c r="O237" s="47">
        <v>1888</v>
      </c>
      <c r="P237" s="47">
        <v>4710</v>
      </c>
      <c r="Q237" s="67">
        <v>0.68700000000000006</v>
      </c>
      <c r="R237" s="71">
        <v>959.2</v>
      </c>
      <c r="S237" s="75">
        <v>1410</v>
      </c>
      <c r="T237" s="51">
        <v>425000</v>
      </c>
      <c r="U237" s="58">
        <v>4.47</v>
      </c>
      <c r="V237" s="58">
        <v>5.36</v>
      </c>
      <c r="W237" s="5">
        <v>3.6</v>
      </c>
      <c r="X237" s="53">
        <v>2.3180000000000001</v>
      </c>
      <c r="Y237" s="62">
        <v>13.8</v>
      </c>
      <c r="Z237" s="5">
        <v>74</v>
      </c>
      <c r="AA237" s="62">
        <v>1.2</v>
      </c>
      <c r="AB237" s="5">
        <v>84</v>
      </c>
      <c r="AC237" s="5">
        <v>52</v>
      </c>
      <c r="AD237" s="5">
        <v>35</v>
      </c>
      <c r="AE237" s="43">
        <v>5.2</v>
      </c>
    </row>
    <row r="238" spans="1:31" x14ac:dyDescent="0.2">
      <c r="A238" s="1">
        <v>24</v>
      </c>
      <c r="B238" s="1" t="s">
        <v>82</v>
      </c>
      <c r="C238" s="28">
        <v>2.4060000000000001</v>
      </c>
      <c r="D238" s="1">
        <v>19</v>
      </c>
      <c r="E238" s="26">
        <v>2</v>
      </c>
      <c r="F238" s="26">
        <v>0</v>
      </c>
      <c r="G238" s="21">
        <v>24.082000000000001</v>
      </c>
      <c r="H238" s="22">
        <v>13.592000000000001</v>
      </c>
      <c r="I238" s="23">
        <v>24.4255</v>
      </c>
      <c r="J238" s="24">
        <f t="shared" si="7"/>
        <v>2.2229196473900403</v>
      </c>
      <c r="K238" s="24">
        <f t="shared" si="6"/>
        <v>7.6093247136309161</v>
      </c>
      <c r="L238" s="33">
        <v>0</v>
      </c>
      <c r="M238" s="1"/>
      <c r="N238" s="38"/>
      <c r="O238" s="44"/>
      <c r="P238" s="44"/>
      <c r="Q238" s="65"/>
      <c r="R238" s="69"/>
      <c r="S238" s="74"/>
      <c r="T238" s="49"/>
      <c r="U238" s="56">
        <v>4.47</v>
      </c>
      <c r="V238" s="56">
        <v>5.36</v>
      </c>
      <c r="W238" s="1">
        <v>3.6</v>
      </c>
      <c r="X238" s="28">
        <v>2.3180000000000001</v>
      </c>
      <c r="Y238" s="60">
        <v>13.8</v>
      </c>
      <c r="Z238" s="1">
        <v>74</v>
      </c>
      <c r="AA238" s="60">
        <v>1.2</v>
      </c>
      <c r="AB238" s="1">
        <v>84</v>
      </c>
      <c r="AC238" s="1">
        <v>52</v>
      </c>
      <c r="AD238" s="1">
        <v>35</v>
      </c>
      <c r="AE238" s="36">
        <v>5.2</v>
      </c>
    </row>
    <row r="239" spans="1:31" x14ac:dyDescent="0.2">
      <c r="A239" s="1">
        <v>24</v>
      </c>
      <c r="B239" s="1" t="s">
        <v>82</v>
      </c>
      <c r="C239" s="28">
        <v>2.4060000000000001</v>
      </c>
      <c r="D239" s="1">
        <v>19</v>
      </c>
      <c r="E239" s="1">
        <v>2</v>
      </c>
      <c r="F239" s="1">
        <v>1</v>
      </c>
      <c r="G239" s="11">
        <v>2.641</v>
      </c>
      <c r="H239" s="12">
        <v>1.4715</v>
      </c>
      <c r="I239" s="13">
        <v>2.66</v>
      </c>
      <c r="J239" s="18">
        <f t="shared" si="7"/>
        <v>2.2221287336979385</v>
      </c>
      <c r="K239" s="18">
        <f t="shared" si="6"/>
        <v>7.6421972694123657</v>
      </c>
      <c r="L239" s="33">
        <v>600</v>
      </c>
      <c r="M239" s="1">
        <v>1</v>
      </c>
      <c r="N239" s="38">
        <v>45737</v>
      </c>
      <c r="O239" s="44">
        <v>2299</v>
      </c>
      <c r="P239" s="44">
        <v>3830</v>
      </c>
      <c r="Q239" s="65">
        <v>1.276</v>
      </c>
      <c r="R239" s="69">
        <v>1145.2</v>
      </c>
      <c r="S239" s="74">
        <v>1148</v>
      </c>
      <c r="T239" s="49">
        <v>71900</v>
      </c>
      <c r="U239" s="56">
        <v>4.47</v>
      </c>
      <c r="V239" s="56">
        <v>5.36</v>
      </c>
      <c r="W239" s="1">
        <v>3.6</v>
      </c>
      <c r="X239" s="28">
        <v>2.3180000000000001</v>
      </c>
      <c r="Y239" s="60">
        <v>13.8</v>
      </c>
      <c r="Z239" s="1">
        <v>74</v>
      </c>
      <c r="AA239" s="60">
        <v>1.2</v>
      </c>
      <c r="AB239" s="1">
        <v>84</v>
      </c>
      <c r="AC239" s="1">
        <v>52</v>
      </c>
      <c r="AD239" s="1">
        <v>35</v>
      </c>
      <c r="AE239" s="36">
        <v>5.2</v>
      </c>
    </row>
    <row r="240" spans="1:31" x14ac:dyDescent="0.2">
      <c r="A240" s="1">
        <v>24</v>
      </c>
      <c r="B240" s="1" t="s">
        <v>82</v>
      </c>
      <c r="C240" s="28">
        <v>2.4060000000000001</v>
      </c>
      <c r="D240" s="1">
        <v>19</v>
      </c>
      <c r="E240" s="1">
        <v>2</v>
      </c>
      <c r="F240" s="1">
        <v>2</v>
      </c>
      <c r="G240" s="11">
        <v>2.6480000000000001</v>
      </c>
      <c r="H240" s="12">
        <v>1.4775</v>
      </c>
      <c r="I240" s="13">
        <v>2.6619999999999999</v>
      </c>
      <c r="J240" s="18">
        <f t="shared" si="7"/>
        <v>2.2355424229632761</v>
      </c>
      <c r="K240" s="18">
        <f t="shared" si="6"/>
        <v>7.0846873248846194</v>
      </c>
      <c r="L240" s="33">
        <v>400</v>
      </c>
      <c r="M240" s="1">
        <v>2</v>
      </c>
      <c r="N240" s="38">
        <v>45741</v>
      </c>
      <c r="O240" s="44">
        <v>1886</v>
      </c>
      <c r="P240" s="44">
        <v>4721</v>
      </c>
      <c r="Q240" s="65">
        <v>0.73199999999999998</v>
      </c>
      <c r="R240" s="69">
        <v>858.3</v>
      </c>
      <c r="S240" s="74">
        <v>1464</v>
      </c>
      <c r="T240" s="49">
        <v>825000</v>
      </c>
      <c r="U240" s="56">
        <v>4.47</v>
      </c>
      <c r="V240" s="56">
        <v>5.36</v>
      </c>
      <c r="W240" s="1">
        <v>3.6</v>
      </c>
      <c r="X240" s="28">
        <v>2.3180000000000001</v>
      </c>
      <c r="Y240" s="60">
        <v>13.8</v>
      </c>
      <c r="Z240" s="1">
        <v>74</v>
      </c>
      <c r="AA240" s="60">
        <v>1.2</v>
      </c>
      <c r="AB240" s="1">
        <v>84</v>
      </c>
      <c r="AC240" s="1">
        <v>52</v>
      </c>
      <c r="AD240" s="1">
        <v>35</v>
      </c>
      <c r="AE240" s="36">
        <v>5.2</v>
      </c>
    </row>
    <row r="241" spans="1:31" x14ac:dyDescent="0.2">
      <c r="A241" s="1">
        <v>24</v>
      </c>
      <c r="B241" s="1" t="s">
        <v>82</v>
      </c>
      <c r="C241" s="28">
        <v>2.4060000000000001</v>
      </c>
      <c r="D241" s="1">
        <v>19</v>
      </c>
      <c r="E241" s="1">
        <v>2</v>
      </c>
      <c r="F241" s="1">
        <v>3</v>
      </c>
      <c r="G241" s="11">
        <v>2.5495000000000001</v>
      </c>
      <c r="H241" s="12">
        <v>1.4145000000000001</v>
      </c>
      <c r="I241" s="13">
        <v>2.5630000000000002</v>
      </c>
      <c r="J241" s="18">
        <f t="shared" si="7"/>
        <v>2.21985198084458</v>
      </c>
      <c r="K241" s="18">
        <f t="shared" si="6"/>
        <v>7.7368254013059019</v>
      </c>
      <c r="L241" s="33"/>
      <c r="M241" s="1"/>
      <c r="N241" s="38"/>
      <c r="O241" s="44"/>
      <c r="P241" s="44"/>
      <c r="Q241" s="65"/>
      <c r="R241" s="69"/>
      <c r="S241" s="74"/>
      <c r="T241" s="49"/>
      <c r="U241" s="56">
        <v>4.47</v>
      </c>
      <c r="V241" s="56">
        <v>5.36</v>
      </c>
      <c r="W241" s="1">
        <v>3.6</v>
      </c>
      <c r="X241" s="28">
        <v>2.3180000000000001</v>
      </c>
      <c r="Y241" s="60">
        <v>13.8</v>
      </c>
      <c r="Z241" s="1">
        <v>74</v>
      </c>
      <c r="AA241" s="60">
        <v>1.2</v>
      </c>
      <c r="AB241" s="1">
        <v>84</v>
      </c>
      <c r="AC241" s="1">
        <v>52</v>
      </c>
      <c r="AD241" s="1">
        <v>35</v>
      </c>
      <c r="AE241" s="36">
        <v>5.2</v>
      </c>
    </row>
    <row r="242" spans="1:31" ht="16" thickBot="1" x14ac:dyDescent="0.25">
      <c r="A242" s="1">
        <v>24</v>
      </c>
      <c r="B242" s="1" t="s">
        <v>82</v>
      </c>
      <c r="C242" s="29">
        <v>2.4060000000000001</v>
      </c>
      <c r="D242" s="2">
        <v>19</v>
      </c>
      <c r="E242" s="2">
        <v>2</v>
      </c>
      <c r="F242" s="2">
        <v>4</v>
      </c>
      <c r="G242" s="16">
        <v>2.5785</v>
      </c>
      <c r="H242" s="10">
        <v>1.4330000000000001</v>
      </c>
      <c r="I242" s="17">
        <v>2.5960000000000001</v>
      </c>
      <c r="J242" s="20">
        <f t="shared" si="7"/>
        <v>2.2171109200343939</v>
      </c>
      <c r="K242" s="20">
        <f t="shared" si="6"/>
        <v>7.8507514532670903</v>
      </c>
      <c r="L242" s="34"/>
      <c r="M242" s="2"/>
      <c r="N242" s="39"/>
      <c r="O242" s="46"/>
      <c r="P242" s="46"/>
      <c r="Q242" s="66"/>
      <c r="R242" s="70"/>
      <c r="S242" s="76"/>
      <c r="T242" s="50"/>
      <c r="U242" s="57">
        <v>4.47</v>
      </c>
      <c r="V242" s="57">
        <v>5.36</v>
      </c>
      <c r="W242" s="2">
        <v>3.6</v>
      </c>
      <c r="X242" s="29">
        <v>2.3180000000000001</v>
      </c>
      <c r="Y242" s="61">
        <v>13.8</v>
      </c>
      <c r="Z242" s="2">
        <v>74</v>
      </c>
      <c r="AA242" s="61">
        <v>1.2</v>
      </c>
      <c r="AB242" s="2">
        <v>84</v>
      </c>
      <c r="AC242" s="2">
        <v>52</v>
      </c>
      <c r="AD242" s="2">
        <v>35</v>
      </c>
      <c r="AE242" s="4">
        <v>5.2</v>
      </c>
    </row>
  </sheetData>
  <mergeCells count="3">
    <mergeCell ref="A1:K1"/>
    <mergeCell ref="L1:T1"/>
    <mergeCell ref="U1:AE1"/>
  </mergeCells>
  <conditionalFormatting sqref="K3:K242">
    <cfRule type="cellIs" dxfId="1" priority="1" operator="between">
      <formula>8</formula>
      <formula>99</formula>
    </cfRule>
    <cfRule type="cellIs" dxfId="0" priority="2" operator="lessThan">
      <formula>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Objetivo 1</vt:lpstr>
      <vt:lpstr>Objetivo 2</vt:lpstr>
      <vt:lpstr>dataob1</vt:lpstr>
      <vt:lpstr>dataob2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Jenner P</dc:creator>
  <cp:lastModifiedBy>Oscar Javier Centeno Mora</cp:lastModifiedBy>
  <dcterms:created xsi:type="dcterms:W3CDTF">2025-01-30T23:01:53Z</dcterms:created>
  <dcterms:modified xsi:type="dcterms:W3CDTF">2025-11-15T19:33:34Z</dcterms:modified>
</cp:coreProperties>
</file>